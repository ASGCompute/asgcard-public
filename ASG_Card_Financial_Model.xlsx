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Unit Economics" sheetId="3" state="visible" r:id="rId3"/>
    <sheet xmlns:r="http://schemas.openxmlformats.org/officeDocument/2006/relationships" name="User Growth" sheetId="4" state="visible" r:id="rId4"/>
    <sheet xmlns:r="http://schemas.openxmlformats.org/officeDocument/2006/relationships" name="P&amp;L" sheetId="5" state="visible" r:id="rId5"/>
    <sheet xmlns:r="http://schemas.openxmlformats.org/officeDocument/2006/relationships" name="XLM Rewards" sheetId="6" state="visible" r:id="rId6"/>
    <sheet xmlns:r="http://schemas.openxmlformats.org/officeDocument/2006/relationships" name="Sensitivity" sheetId="7" state="visible" r:id="rId7"/>
    <sheet xmlns:r="http://schemas.openxmlformats.org/officeDocument/2006/relationships" name="KPI Dashboar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$#,##0"/>
    <numFmt numFmtId="166" formatCode="0.0&quot;x&quot;"/>
  </numFmts>
  <fonts count="32">
    <font>
      <name val="Calibri"/>
      <family val="2"/>
      <color theme="1"/>
      <sz val="11"/>
      <scheme val="minor"/>
    </font>
    <font>
      <name val="Inter"/>
      <b val="1"/>
      <color rgb="00FFFFFF"/>
      <sz val="13"/>
    </font>
    <font>
      <name val="Inter"/>
      <color rgb="004361EE"/>
      <sz val="10"/>
    </font>
    <font>
      <name val="Inter"/>
      <b val="1"/>
      <color rgb="00212529"/>
      <sz val="11"/>
    </font>
    <font>
      <name val="Inter"/>
      <b val="1"/>
      <color rgb="00FFFFFF"/>
      <sz val="10"/>
    </font>
    <font>
      <name val="Inter"/>
      <b val="1"/>
      <color rgb="00212529"/>
      <sz val="10"/>
    </font>
    <font>
      <name val="Inter"/>
      <b val="1"/>
      <color rgb="004361EE"/>
      <sz val="10"/>
    </font>
    <font>
      <name val="Inter"/>
      <color rgb="006B7280"/>
      <sz val="10"/>
    </font>
    <font>
      <name val="Inter"/>
      <color rgb="006B7280"/>
      <sz val="9"/>
    </font>
    <font>
      <name val="Inter"/>
      <b val="1"/>
      <color rgb="007C3AED"/>
      <sz val="10"/>
    </font>
    <font>
      <name val="Inter"/>
      <b val="1"/>
      <color rgb="0006D6A0"/>
      <sz val="10"/>
    </font>
    <font>
      <name val="Inter"/>
      <b val="1"/>
      <color rgb="00EF476F"/>
      <sz val="10"/>
    </font>
    <font>
      <name val="Inter"/>
      <b val="1"/>
      <color rgb="0006D6A0"/>
      <sz val="11"/>
    </font>
    <font>
      <name val="Inter"/>
      <b val="1"/>
      <color rgb="00EF476F"/>
      <sz val="11"/>
    </font>
    <font>
      <name val="Inter"/>
      <color rgb="00212529"/>
      <sz val="10"/>
    </font>
    <font>
      <name val="Inter"/>
      <color rgb="00EF476F"/>
      <sz val="10"/>
    </font>
    <font>
      <name val="Inter"/>
      <b val="1"/>
      <color rgb="00FFD166"/>
      <sz val="10"/>
    </font>
    <font>
      <name val="Inter"/>
      <b val="1"/>
      <color rgb="000F3460"/>
      <sz val="10"/>
    </font>
    <font>
      <name val="Inter"/>
      <b val="1"/>
      <color rgb="000057FF"/>
      <sz val="10"/>
    </font>
    <font>
      <name val="Inter"/>
      <color rgb="000057FF"/>
      <sz val="10"/>
    </font>
    <font>
      <name val="Inter"/>
      <color rgb="0006D6A0"/>
      <sz val="10"/>
    </font>
    <font>
      <name val="Inter"/>
      <b val="1"/>
      <color rgb="00FFFFFF"/>
      <sz val="11"/>
    </font>
    <font>
      <name val="Inter"/>
      <color rgb="007C3AED"/>
      <sz val="10"/>
    </font>
    <font>
      <name val="Inter"/>
      <b val="1"/>
      <color rgb="00F5A623"/>
      <sz val="10"/>
    </font>
    <font>
      <name val="Inter"/>
      <b val="1"/>
      <color rgb="000F3460"/>
      <sz val="11"/>
    </font>
    <font>
      <name val="Inter"/>
      <b val="1"/>
      <color rgb="00EF476F"/>
      <sz val="12"/>
    </font>
    <font>
      <name val="Inter"/>
      <b val="1"/>
      <color rgb="00EF476F"/>
      <sz val="14"/>
    </font>
    <font>
      <name val="Inter"/>
      <color rgb="000F3460"/>
      <sz val="10"/>
    </font>
    <font>
      <name val="Inter"/>
      <b val="1"/>
      <color rgb="0092400E"/>
      <sz val="10"/>
    </font>
    <font>
      <name val="Inter"/>
      <b val="1"/>
      <color rgb="000F3460"/>
      <sz val="22"/>
    </font>
    <font>
      <name val="Inter"/>
      <color rgb="006B7280"/>
      <sz val="12"/>
    </font>
    <font>
      <name val="Inter"/>
      <b val="1"/>
      <color rgb="000F3460"/>
      <sz val="16"/>
    </font>
  </fonts>
  <fills count="15">
    <fill>
      <patternFill/>
    </fill>
    <fill>
      <patternFill patternType="gray125"/>
    </fill>
    <fill>
      <patternFill patternType="solid">
        <fgColor rgb="000F3460"/>
      </patternFill>
    </fill>
    <fill>
      <patternFill patternType="solid">
        <fgColor rgb="00FFFFFF"/>
      </patternFill>
    </fill>
    <fill>
      <patternFill patternType="solid">
        <fgColor rgb="00E9ECEF"/>
      </patternFill>
    </fill>
    <fill>
      <patternFill patternType="solid">
        <fgColor rgb="0016213E"/>
      </patternFill>
    </fill>
    <fill>
      <patternFill patternType="solid">
        <fgColor rgb="00F8F9FA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D1FAE5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06D6A0"/>
      </patternFill>
    </fill>
    <fill>
      <patternFill patternType="solid">
        <fgColor rgb="00FFF7E6"/>
      </patternFill>
    </fill>
    <fill>
      <patternFill patternType="solid">
        <fgColor rgb="00EF476F"/>
      </patternFill>
    </fill>
  </fills>
  <borders count="2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84">
    <xf numFmtId="0" fontId="0" fillId="0" borderId="0" pivotButton="0" quotePrefix="0" xfId="0"/>
    <xf numFmtId="0" fontId="29" fillId="3" borderId="1" applyAlignment="1" pivotButton="0" quotePrefix="0" xfId="0">
      <alignment horizontal="left" vertical="center"/>
    </xf>
    <xf numFmtId="0" fontId="30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4" borderId="1" pivotButton="0" quotePrefix="0" xfId="0"/>
    <xf numFmtId="0" fontId="14" fillId="6" borderId="1" applyAlignment="1" pivotButton="0" quotePrefix="0" xfId="0">
      <alignment horizontal="left" vertical="center" wrapText="1"/>
    </xf>
    <xf numFmtId="0" fontId="27" fillId="6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164" fontId="31" fillId="6" borderId="1" applyAlignment="1" pivotButton="0" quotePrefix="0" xfId="0">
      <alignment horizontal="center" vertical="center"/>
    </xf>
    <xf numFmtId="3" fontId="31" fillId="6" borderId="1" applyAlignment="1" pivotButton="0" quotePrefix="0" xfId="0">
      <alignment horizontal="center" vertical="center"/>
    </xf>
    <xf numFmtId="166" fontId="31" fillId="6" borderId="1" applyAlignment="1" pivotButton="0" quotePrefix="0" xfId="0">
      <alignment horizontal="center" vertical="center"/>
    </xf>
    <xf numFmtId="165" fontId="31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14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2" fillId="3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4" fontId="6" fillId="7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/>
    </xf>
    <xf numFmtId="3" fontId="9" fillId="8" borderId="1" applyAlignment="1" pivotButton="0" quotePrefix="0" xfId="0">
      <alignment horizontal="center" vertical="center"/>
    </xf>
    <xf numFmtId="164" fontId="10" fillId="9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/>
    </xf>
    <xf numFmtId="164" fontId="11" fillId="10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left" vertical="center"/>
    </xf>
    <xf numFmtId="3" fontId="6" fillId="7" borderId="1" applyAlignment="1" pivotButton="0" quotePrefix="0" xfId="0">
      <alignment horizontal="center" vertical="center"/>
    </xf>
    <xf numFmtId="165" fontId="6" fillId="7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left" vertical="center"/>
    </xf>
    <xf numFmtId="165" fontId="11" fillId="10" borderId="1" applyAlignment="1" pivotButton="0" quotePrefix="0" xfId="0">
      <alignment horizontal="center" vertical="center"/>
    </xf>
    <xf numFmtId="165" fontId="6" fillId="10" borderId="1" applyAlignment="1" pivotButton="0" quotePrefix="0" xfId="0">
      <alignment horizontal="center" vertical="center"/>
    </xf>
    <xf numFmtId="164" fontId="14" fillId="6" borderId="1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6" fillId="11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center" vertical="center"/>
    </xf>
    <xf numFmtId="164" fontId="16" fillId="9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left" vertical="center"/>
    </xf>
    <xf numFmtId="3" fontId="14" fillId="6" borderId="1" applyAlignment="1" pivotButton="0" quotePrefix="0" xfId="0">
      <alignment horizontal="center" vertical="center"/>
    </xf>
    <xf numFmtId="0" fontId="18" fillId="6" borderId="1" applyAlignment="1" pivotButton="0" quotePrefix="0" xfId="0">
      <alignment horizontal="left" vertical="center"/>
    </xf>
    <xf numFmtId="3" fontId="19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left" vertical="center"/>
    </xf>
    <xf numFmtId="3" fontId="20" fillId="6" borderId="1" applyAlignment="1" pivotButton="0" quotePrefix="0" xfId="0">
      <alignment horizontal="center" vertical="center"/>
    </xf>
    <xf numFmtId="3" fontId="15" fillId="10" borderId="1" applyAlignment="1" pivotButton="0" quotePrefix="0" xfId="0">
      <alignment horizontal="center" vertical="center"/>
    </xf>
    <xf numFmtId="0" fontId="21" fillId="2" borderId="1" applyAlignment="1" pivotButton="0" quotePrefix="0" xfId="0">
      <alignment horizontal="left" vertical="center"/>
    </xf>
    <xf numFmtId="3" fontId="21" fillId="2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/>
    </xf>
    <xf numFmtId="3" fontId="22" fillId="8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3" fontId="7" fillId="3" borderId="1" applyAlignment="1" pivotButton="0" quotePrefix="0" xfId="0">
      <alignment horizontal="center" vertical="center"/>
    </xf>
    <xf numFmtId="165" fontId="7" fillId="6" borderId="1" applyAlignment="1" pivotButton="0" quotePrefix="0" xfId="0">
      <alignment horizontal="center" vertical="center"/>
    </xf>
    <xf numFmtId="165" fontId="14" fillId="6" borderId="1" applyAlignment="1" pivotButton="0" quotePrefix="0" xfId="0">
      <alignment horizontal="center" vertical="center"/>
    </xf>
    <xf numFmtId="165" fontId="22" fillId="8" borderId="1" applyAlignment="1" pivotButton="0" quotePrefix="0" xfId="0">
      <alignment horizontal="center" vertical="center"/>
    </xf>
    <xf numFmtId="0" fontId="21" fillId="12" borderId="1" applyAlignment="1" pivotButton="0" quotePrefix="0" xfId="0">
      <alignment horizontal="left" vertical="center"/>
    </xf>
    <xf numFmtId="165" fontId="21" fillId="12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/>
    </xf>
    <xf numFmtId="0" fontId="5" fillId="13" borderId="1" applyAlignment="1" pivotButton="0" quotePrefix="0" xfId="0">
      <alignment horizontal="left" vertical="center"/>
    </xf>
    <xf numFmtId="165" fontId="23" fillId="13" borderId="1" applyAlignment="1" pivotButton="0" quotePrefix="0" xfId="0">
      <alignment horizontal="center" vertical="center"/>
    </xf>
    <xf numFmtId="0" fontId="21" fillId="14" borderId="1" applyAlignment="1" pivotButton="0" quotePrefix="0" xfId="0">
      <alignment horizontal="left" vertical="center"/>
    </xf>
    <xf numFmtId="165" fontId="21" fillId="14" borderId="1" applyAlignment="1" pivotButton="0" quotePrefix="0" xfId="0">
      <alignment horizontal="center" vertical="center"/>
    </xf>
    <xf numFmtId="0" fontId="24" fillId="6" borderId="1" applyAlignment="1" pivotButton="0" quotePrefix="0" xfId="0">
      <alignment horizontal="left" vertical="center"/>
    </xf>
    <xf numFmtId="165" fontId="24" fillId="6" borderId="1" applyAlignment="1" pivotButton="0" quotePrefix="0" xfId="0">
      <alignment horizontal="center" vertical="center"/>
    </xf>
    <xf numFmtId="0" fontId="24" fillId="4" borderId="1" applyAlignment="1" pivotButton="0" quotePrefix="0" xfId="0">
      <alignment horizontal="left" vertical="center"/>
    </xf>
    <xf numFmtId="165" fontId="24" fillId="4" borderId="1" applyAlignment="1" pivotButton="0" quotePrefix="0" xfId="0">
      <alignment horizontal="center" vertical="center"/>
    </xf>
    <xf numFmtId="0" fontId="25" fillId="11" borderId="1" applyAlignment="1" pivotButton="0" quotePrefix="0" xfId="0">
      <alignment horizontal="left" vertical="center"/>
    </xf>
    <xf numFmtId="3" fontId="26" fillId="11" borderId="1" applyAlignment="1" pivotButton="0" quotePrefix="0" xfId="0">
      <alignment horizontal="center" vertical="center"/>
    </xf>
    <xf numFmtId="165" fontId="26" fillId="10" borderId="1" applyAlignment="1" pivotButton="0" quotePrefix="0" xfId="0">
      <alignment horizontal="center" vertical="center"/>
    </xf>
    <xf numFmtId="0" fontId="27" fillId="11" borderId="1" applyAlignment="1" pivotButton="0" quotePrefix="0" xfId="0">
      <alignment horizontal="left" vertical="center" wrapText="1"/>
    </xf>
    <xf numFmtId="3" fontId="23" fillId="13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left" vertical="center"/>
    </xf>
    <xf numFmtId="165" fontId="17" fillId="4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left" vertical="center"/>
    </xf>
    <xf numFmtId="165" fontId="10" fillId="9" borderId="1" applyAlignment="1" pivotButton="0" quotePrefix="0" xfId="0">
      <alignment horizontal="center" vertical="center"/>
    </xf>
    <xf numFmtId="0" fontId="27" fillId="6" borderId="1" applyAlignment="1" pivotButton="0" quotePrefix="0" xfId="0">
      <alignment horizontal="left" vertical="center"/>
    </xf>
    <xf numFmtId="3" fontId="10" fillId="9" borderId="1" applyAlignment="1" pivotButton="0" quotePrefix="0" xfId="0">
      <alignment horizontal="center" vertical="center"/>
    </xf>
    <xf numFmtId="3" fontId="28" fillId="11" borderId="1" applyAlignment="1" pivotButton="0" quotePrefix="0" xfId="0">
      <alignment horizontal="center" vertical="center"/>
    </xf>
    <xf numFmtId="3" fontId="11" fillId="10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28" fillId="11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3460"/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3" customWidth="1" min="8" max="8"/>
  </cols>
  <sheetData>
    <row r="1" ht="50" customHeight="1">
      <c r="B1" s="1" t="inlineStr">
        <is>
          <t>ASG CARD</t>
        </is>
      </c>
    </row>
    <row r="2">
      <c r="B2" s="2" t="inlineStr">
        <is>
          <t>Financial Model v5 (Audited)</t>
        </is>
      </c>
    </row>
    <row r="4" ht="24" customHeight="1">
      <c r="A4" s="3" t="inlineStr">
        <is>
          <t>WHAT IS ASG CARD?</t>
        </is>
      </c>
      <c r="B4" s="4" t="n"/>
      <c r="C4" s="4" t="n"/>
      <c r="D4" s="4" t="n"/>
      <c r="E4" s="4" t="n"/>
      <c r="F4" s="4" t="n"/>
      <c r="G4" s="4" t="n"/>
    </row>
    <row r="5" ht="22" customHeight="1">
      <c r="B5" s="5" t="inlineStr">
        <is>
          <t>ASG Card issues instant virtual Visa cards for AI agents via API.</t>
        </is>
      </c>
    </row>
    <row r="6" ht="22" customHeight="1">
      <c r="B6" s="5" t="inlineStr">
        <is>
          <t>Payments settled in USDC on the Stellar blockchain using x402 protocol.</t>
        </is>
      </c>
    </row>
    <row r="7" ht="22" customHeight="1">
      <c r="B7" s="5" t="inlineStr">
        <is>
          <t>"Payment IS Authentication" — no API keys, no KYC, no registration needed.</t>
        </is>
      </c>
    </row>
    <row r="8" ht="22" customHeight="1">
      <c r="B8" s="5" t="inlineStr">
        <is>
          <t>Agent sends USDC → gets a virtual card → makes purchases autonomously.</t>
        </is>
      </c>
    </row>
    <row r="9"/>
    <row r="10" ht="22" customHeight="1">
      <c r="B10" s="6" t="inlineStr">
        <is>
          <t>Revenue: per-transaction fees (topUpFee + serviceFee) + $29/mo Pro subscription.</t>
        </is>
      </c>
    </row>
    <row r="11" ht="22" customHeight="1">
      <c r="B11" s="6" t="inlineStr">
        <is>
          <t>Card issuer: 4payments ($3/card + 3% deposit). Grant: SCF #42 (Stellar).</t>
        </is>
      </c>
    </row>
    <row r="12" ht="22" customHeight="1">
      <c r="B12" s="6" t="inlineStr">
        <is>
          <t>Stage: Pre-launch pilot. Target: production on Stellar by May 2026.</t>
        </is>
      </c>
    </row>
    <row r="14" ht="24" customHeight="1">
      <c r="A14" s="3" t="inlineStr">
        <is>
          <t>KEY METRICS</t>
        </is>
      </c>
      <c r="B14" s="4" t="n"/>
      <c r="C14" s="4" t="n"/>
      <c r="D14" s="4" t="n"/>
      <c r="E14" s="4" t="n"/>
      <c r="F14" s="4" t="n"/>
      <c r="G14" s="4" t="n"/>
    </row>
    <row r="15" ht="28" customHeight="1">
      <c r="B15" s="7" t="inlineStr">
        <is>
          <t>Net Margin
/client</t>
        </is>
      </c>
      <c r="C15" s="7" t="inlineStr">
        <is>
          <t>Break-Even
Clients</t>
        </is>
      </c>
      <c r="D15" s="7" t="inlineStr">
        <is>
          <t>LTV/CAC</t>
        </is>
      </c>
      <c r="E15" s="7" t="inlineStr">
        <is>
          <t>Mo12
Revenue</t>
        </is>
      </c>
      <c r="F15" s="7" t="inlineStr">
        <is>
          <t>Mo12
Paying</t>
        </is>
      </c>
      <c r="G15" s="7" t="inlineStr">
        <is>
          <t>Free Card
Budget Left</t>
        </is>
      </c>
    </row>
    <row r="16" ht="40" customHeight="1">
      <c r="B16" s="8">
        <f>Assumptions!C32</f>
        <v/>
      </c>
      <c r="C16" s="9">
        <f>'P&amp;L'!B31</f>
        <v/>
      </c>
      <c r="D16" s="10">
        <f>'Unit Economics'!C26</f>
        <v/>
      </c>
      <c r="E16" s="11">
        <f>'P&amp;L'!M9</f>
        <v/>
      </c>
      <c r="F16" s="9">
        <f>'User Growth'!M22</f>
        <v/>
      </c>
      <c r="G16" s="11">
        <f>'XLM Rewards'!M22</f>
        <v/>
      </c>
    </row>
    <row r="18" ht="24" customHeight="1">
      <c r="A18" s="3" t="inlineStr">
        <is>
          <t>MODEL TABS</t>
        </is>
      </c>
      <c r="B18" s="4" t="n"/>
      <c r="C18" s="4" t="n"/>
      <c r="D18" s="4" t="n"/>
      <c r="E18" s="4" t="n"/>
      <c r="F18" s="4" t="n"/>
      <c r="G18" s="4" t="n"/>
    </row>
    <row r="19">
      <c r="B19" s="12" t="inlineStr">
        <is>
          <t>→ Assumptions</t>
        </is>
      </c>
      <c r="C19" s="13" t="inlineStr">
        <is>
          <t>Editable inputs: 4payments costs, pricing, Pro subscription, growth</t>
        </is>
      </c>
    </row>
    <row r="20">
      <c r="B20" s="12" t="inlineStr">
        <is>
          <t>→ Unit Economics</t>
        </is>
      </c>
      <c r="C20" s="13" t="inlineStr">
        <is>
          <t>Real margin per transaction after 4payments fees</t>
        </is>
      </c>
    </row>
    <row r="21">
      <c r="B21" s="12" t="inlineStr">
        <is>
          <t>→ User Growth</t>
        </is>
      </c>
      <c r="C21" s="13" t="inlineStr">
        <is>
          <t>Signup→Free→Paid funnel, declining churn, ramped Pro</t>
        </is>
      </c>
    </row>
    <row r="22">
      <c r="B22" s="12" t="inlineStr">
        <is>
          <t>→ P&amp;L</t>
        </is>
      </c>
      <c r="C22" s="13" t="inlineStr">
        <is>
          <t>Revenue (PPU + Sub), COGS, fixed costs, XLM rewards, break-even</t>
        </is>
      </c>
    </row>
    <row r="23">
      <c r="B23" s="12" t="inlineStr">
        <is>
          <t>→ XLM Rewards ★</t>
        </is>
      </c>
      <c r="C23" s="13" t="inlineStr">
        <is>
          <t>Free cards, XLM bonuses, strategy steps, SCF grant ROI</t>
        </is>
      </c>
    </row>
    <row r="24">
      <c r="B24" s="12" t="inlineStr">
        <is>
          <t>→ Sensitivity</t>
        </is>
      </c>
      <c r="C24" s="13" t="inlineStr">
        <is>
          <t>What-if tables: break-even × margin, LTV/CAC × churn</t>
        </is>
      </c>
    </row>
    <row r="25">
      <c r="B25" s="12" t="inlineStr">
        <is>
          <t>→ KPI Dashboard</t>
        </is>
      </c>
      <c r="C25" s="13" t="inlineStr">
        <is>
          <t>Weekly tracking: signups, MRR, churn, XLM metrics</t>
        </is>
      </c>
    </row>
    <row r="27">
      <c r="B27" s="14" t="inlineStr">
        <is>
          <t>💡 Blue cells = editable. All formulas auto-propagate. XLM costs feed into P&amp;L.</t>
        </is>
      </c>
    </row>
  </sheetData>
  <mergeCells count="21">
    <mergeCell ref="B2:G2"/>
    <mergeCell ref="A14:G14"/>
    <mergeCell ref="C24:G24"/>
    <mergeCell ref="A4:G4"/>
    <mergeCell ref="B1:G1"/>
    <mergeCell ref="B8:G8"/>
    <mergeCell ref="B10:G10"/>
    <mergeCell ref="C20:G20"/>
    <mergeCell ref="B9:G9"/>
    <mergeCell ref="C25:G25"/>
    <mergeCell ref="C22:G22"/>
    <mergeCell ref="B6:G6"/>
    <mergeCell ref="C21:G21"/>
    <mergeCell ref="B5:G5"/>
    <mergeCell ref="C23:G23"/>
    <mergeCell ref="B7:G7"/>
    <mergeCell ref="A18:G18"/>
    <mergeCell ref="B27:G27"/>
    <mergeCell ref="C19:G19"/>
    <mergeCell ref="B12:G12"/>
    <mergeCell ref="B11:G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361EE"/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36" customWidth="1" min="5" max="5"/>
  </cols>
  <sheetData>
    <row r="1" ht="30" customHeight="1">
      <c r="A1" s="15" t="inlineStr">
        <is>
          <t>ASG CARD — MODEL ASSUMPTIONS (v5 — Audited)</t>
        </is>
      </c>
      <c r="B1" s="16" t="n"/>
      <c r="C1" s="16" t="n"/>
      <c r="D1" s="16" t="n"/>
      <c r="E1" s="16" t="n"/>
    </row>
    <row r="2">
      <c r="A2" s="17" t="inlineStr">
        <is>
          <t>Blue cells = editable. Audit fixes: correct ARPU, declining churn, ramped Pro.</t>
        </is>
      </c>
    </row>
    <row r="4" ht="24" customHeight="1">
      <c r="A4" s="3" t="inlineStr">
        <is>
          <t>4PAYMENTS REAL COST STRUCTURE</t>
        </is>
      </c>
      <c r="B4" s="4" t="n"/>
      <c r="C4" s="4" t="n"/>
      <c r="D4" s="4" t="n"/>
      <c r="E4" s="4" t="n"/>
    </row>
    <row r="5" ht="22" customHeight="1">
      <c r="A5" s="18" t="inlineStr">
        <is>
          <t>Parameter</t>
        </is>
      </c>
      <c r="B5" s="18" t="inlineStr">
        <is>
          <t>Current</t>
        </is>
      </c>
      <c r="C5" s="18" t="inlineStr">
        <is>
          <t>At Volume</t>
        </is>
      </c>
      <c r="D5" s="18" t="inlineStr"/>
      <c r="E5" s="18" t="inlineStr">
        <is>
          <t>Notes</t>
        </is>
      </c>
    </row>
    <row r="6">
      <c r="A6" s="19" t="inlineStr">
        <is>
          <t>Setup Fee (one-time)</t>
        </is>
      </c>
      <c r="B6" s="20" t="n">
        <v>4500</v>
      </c>
      <c r="C6" s="21" t="inlineStr">
        <is>
          <t>—</t>
        </is>
      </c>
      <c r="E6" s="22" t="inlineStr">
        <is>
          <t>One-time integration fee</t>
        </is>
      </c>
    </row>
    <row r="7">
      <c r="A7" s="19" t="inlineStr">
        <is>
          <t>Card Issuance ($/card)</t>
        </is>
      </c>
      <c r="B7" s="20" t="n">
        <v>3</v>
      </c>
      <c r="C7" s="20" t="n">
        <v>2.5</v>
      </c>
      <c r="E7" s="22" t="inlineStr">
        <is>
          <t>Volume discount at 100+ cards/mo</t>
        </is>
      </c>
    </row>
    <row r="8">
      <c r="A8" s="19" t="inlineStr">
        <is>
          <t>Deposit Fee (%)</t>
        </is>
      </c>
      <c r="B8" s="20" t="n">
        <v>3</v>
      </c>
      <c r="C8" s="20" t="n">
        <v>2</v>
      </c>
      <c r="E8" s="22" t="inlineStr">
        <is>
          <t>Volume discount negotiable</t>
        </is>
      </c>
    </row>
    <row r="9">
      <c r="A9" s="19" t="inlineStr">
        <is>
          <t>Monthly Platform Fee ($)</t>
        </is>
      </c>
      <c r="B9" s="20" t="n">
        <v>75</v>
      </c>
      <c r="C9" s="21" t="inlineStr">
        <is>
          <t>—</t>
        </is>
      </c>
      <c r="E9" s="22" t="inlineStr">
        <is>
          <t>Fixed monthly</t>
        </is>
      </c>
    </row>
    <row r="11" ht="24" customHeight="1">
      <c r="A11" s="3" t="inlineStr">
        <is>
          <t>YOUR REVENUE PER TRANSACTION (topUpFee + serviceFee)</t>
        </is>
      </c>
      <c r="B11" s="4" t="n"/>
      <c r="C11" s="4" t="n"/>
      <c r="D11" s="4" t="n"/>
      <c r="E11" s="4" t="n"/>
    </row>
    <row r="12" ht="22" customHeight="1">
      <c r="A12" s="18" t="inlineStr">
        <is>
          <t>Parameter</t>
        </is>
      </c>
      <c r="B12" s="18" t="inlineStr">
        <is>
          <t>Pessimistic</t>
        </is>
      </c>
      <c r="C12" s="18" t="inlineStr">
        <is>
          <t>Realistic</t>
        </is>
      </c>
      <c r="D12" s="18" t="inlineStr">
        <is>
          <t>Optimistic</t>
        </is>
      </c>
      <c r="E12" s="18" t="inlineStr">
        <is>
          <t>Notes</t>
        </is>
      </c>
    </row>
    <row r="13">
      <c r="A13" s="19" t="inlineStr">
        <is>
          <t>Avg topUpFee earned / create ($)</t>
        </is>
      </c>
      <c r="B13" s="20" t="n">
        <v>2.2</v>
      </c>
      <c r="C13" s="20" t="n">
        <v>3</v>
      </c>
      <c r="D13" s="20" t="n">
        <v>6</v>
      </c>
      <c r="E13" s="22" t="inlineStr">
        <is>
          <t>From pricing.ts, you keep this</t>
        </is>
      </c>
    </row>
    <row r="14">
      <c r="A14" s="19" t="inlineStr">
        <is>
          <t>Avg serviceFee / create ($)</t>
        </is>
      </c>
      <c r="B14" s="20" t="n">
        <v>2</v>
      </c>
      <c r="C14" s="20" t="n">
        <v>2.5</v>
      </c>
      <c r="D14" s="20" t="n">
        <v>5</v>
      </c>
      <c r="E14" s="22" t="inlineStr">
        <is>
          <t>Your service margin</t>
        </is>
      </c>
    </row>
    <row r="15">
      <c r="A15" s="19" t="inlineStr">
        <is>
          <t>Avg topUpFee earned / fund ($)</t>
        </is>
      </c>
      <c r="B15" s="20" t="n">
        <v>2.2</v>
      </c>
      <c r="C15" s="20" t="n">
        <v>3</v>
      </c>
      <c r="D15" s="20" t="n">
        <v>6</v>
      </c>
      <c r="E15" s="22" t="inlineStr">
        <is>
          <t>Funding topUp fee</t>
        </is>
      </c>
    </row>
    <row r="16">
      <c r="A16" s="19" t="inlineStr">
        <is>
          <t>Avg serviceFee / fund ($)</t>
        </is>
      </c>
      <c r="B16" s="20" t="n">
        <v>2</v>
      </c>
      <c r="C16" s="20" t="n">
        <v>2</v>
      </c>
      <c r="D16" s="20" t="n">
        <v>3</v>
      </c>
      <c r="E16" s="22" t="inlineStr">
        <is>
          <t>Funding service fee</t>
        </is>
      </c>
    </row>
    <row r="17">
      <c r="A17" s="19" t="inlineStr">
        <is>
          <t>Card Creates / client / mo</t>
        </is>
      </c>
      <c r="B17" s="20" t="n">
        <v>2</v>
      </c>
      <c r="C17" s="20" t="n">
        <v>4</v>
      </c>
      <c r="D17" s="20" t="n">
        <v>8</v>
      </c>
      <c r="E17" s="22" t="inlineStr">
        <is>
          <t>Monthly issuance volume</t>
        </is>
      </c>
    </row>
    <row r="18">
      <c r="A18" s="19" t="inlineStr">
        <is>
          <t>Card Funds / client / mo</t>
        </is>
      </c>
      <c r="B18" s="20" t="n">
        <v>1</v>
      </c>
      <c r="C18" s="20" t="n">
        <v>2</v>
      </c>
      <c r="D18" s="20" t="n">
        <v>4</v>
      </c>
      <c r="E18" s="22" t="inlineStr">
        <is>
          <t>Monthly funding volume</t>
        </is>
      </c>
    </row>
    <row r="19">
      <c r="A19" s="19" t="inlineStr">
        <is>
          <t>Avg loadAmount for creates ($)</t>
        </is>
      </c>
      <c r="B19" s="20" t="n">
        <v>25</v>
      </c>
      <c r="C19" s="20" t="n">
        <v>50</v>
      </c>
      <c r="D19" s="20" t="n">
        <v>100</v>
      </c>
      <c r="E19" s="22" t="inlineStr">
        <is>
          <t>For 4p deposit % calc</t>
        </is>
      </c>
    </row>
    <row r="20">
      <c r="A20" s="19" t="inlineStr">
        <is>
          <t>Avg fundAmount for funds ($)</t>
        </is>
      </c>
      <c r="B20" s="20" t="n">
        <v>25</v>
      </c>
      <c r="C20" s="20" t="n">
        <v>50</v>
      </c>
      <c r="D20" s="20" t="n">
        <v>100</v>
      </c>
      <c r="E20" s="22" t="inlineStr">
        <is>
          <t>For 4p deposit % calc</t>
        </is>
      </c>
    </row>
    <row r="22" ht="24" customHeight="1">
      <c r="A22" s="3" t="inlineStr">
        <is>
          <t>PRO SUBSCRIPTION ($29/mo) — RAMPED CONVERSION</t>
        </is>
      </c>
      <c r="B22" s="4" t="n"/>
      <c r="C22" s="4" t="n"/>
      <c r="D22" s="4" t="n"/>
      <c r="E22" s="4" t="n"/>
    </row>
    <row r="23" ht="22" customHeight="1">
      <c r="A23" s="18" t="inlineStr">
        <is>
          <t>Parameter</t>
        </is>
      </c>
      <c r="B23" s="18" t="inlineStr">
        <is>
          <t>Pessimistic</t>
        </is>
      </c>
      <c r="C23" s="18" t="inlineStr">
        <is>
          <t>Realistic</t>
        </is>
      </c>
      <c r="D23" s="18" t="inlineStr">
        <is>
          <t>Optimistic</t>
        </is>
      </c>
      <c r="E23" s="18" t="inlineStr">
        <is>
          <t>Notes</t>
        </is>
      </c>
    </row>
    <row r="24">
      <c r="A24" s="23" t="inlineStr">
        <is>
          <t>Pro Price ($/mo)</t>
        </is>
      </c>
      <c r="B24" s="24" t="n">
        <v>29</v>
      </c>
      <c r="C24" s="24" t="n">
        <v>29</v>
      </c>
      <c r="D24" s="24" t="n">
        <v>29</v>
      </c>
      <c r="E24" s="22" t="inlineStr">
        <is>
          <t>Monthly subscription</t>
        </is>
      </c>
    </row>
    <row r="25">
      <c r="A25" s="23" t="inlineStr">
        <is>
          <t>Mo 1 Pro Conversion %</t>
        </is>
      </c>
      <c r="B25" s="24" t="n">
        <v>0</v>
      </c>
      <c r="C25" s="24" t="n">
        <v>0</v>
      </c>
      <c r="D25" s="24" t="n">
        <v>5</v>
      </c>
      <c r="E25" s="22" t="inlineStr">
        <is>
          <t>Start at 0% — no track record yet</t>
        </is>
      </c>
    </row>
    <row r="26">
      <c r="A26" s="23" t="inlineStr">
        <is>
          <t>Mo 6 Pro Conversion %</t>
        </is>
      </c>
      <c r="B26" s="24" t="n">
        <v>5</v>
      </c>
      <c r="C26" s="24" t="n">
        <v>10</v>
      </c>
      <c r="D26" s="24" t="n">
        <v>20</v>
      </c>
      <c r="E26" s="22" t="inlineStr">
        <is>
          <t>After proving value</t>
        </is>
      </c>
    </row>
    <row r="27">
      <c r="A27" s="23" t="inlineStr">
        <is>
          <t>Mo 12 Pro Conversion %</t>
        </is>
      </c>
      <c r="B27" s="24" t="n">
        <v>10</v>
      </c>
      <c r="C27" s="24" t="n">
        <v>20</v>
      </c>
      <c r="D27" s="24" t="n">
        <v>35</v>
      </c>
      <c r="E27" s="22" t="inlineStr">
        <is>
          <t>Mature conversion rate</t>
        </is>
      </c>
    </row>
    <row r="29" ht="24" customHeight="1">
      <c r="A29" s="3" t="inlineStr">
        <is>
          <t>CALCULATED ARPU (topUpFee + serviceFee - 4p COGS)</t>
        </is>
      </c>
      <c r="B29" s="4" t="n"/>
      <c r="C29" s="4" t="n"/>
      <c r="D29" s="4" t="n"/>
      <c r="E29" s="4" t="n"/>
    </row>
    <row r="30">
      <c r="A30" s="19" t="inlineStr">
        <is>
          <t>Gross Revenue / client / mo</t>
        </is>
      </c>
      <c r="B30" s="25">
        <f>(B13+B14)*B17+(B15+B16)*B18</f>
        <v/>
      </c>
      <c r="C30" s="25">
        <f>(C13+C14)*C17+(C15+C16)*C18</f>
        <v/>
      </c>
      <c r="D30" s="25">
        <f>(D13+D14)*D17+(D15+D16)*D18</f>
        <v/>
      </c>
      <c r="E30" s="22" t="inlineStr">
        <is>
          <t>(topUp+svc)×creates + (topUp+svc)×funds</t>
        </is>
      </c>
    </row>
    <row r="31">
      <c r="A31" s="26" t="inlineStr">
        <is>
          <t>4p COGS / client / mo</t>
        </is>
      </c>
      <c r="B31" s="27">
        <f>B7*B17+B8/100*B19*B17+B8/100*B20*B18</f>
        <v/>
      </c>
      <c r="C31" s="27">
        <f>B7*C17+B8/100*C19*C17+B8/100*C20*C18</f>
        <v/>
      </c>
      <c r="D31" s="27">
        <f>B7*D17+B8/100*D19*D17+B8/100*D20*D18</f>
        <v/>
      </c>
      <c r="E31" s="22" t="inlineStr">
        <is>
          <t>$3×creates + 3%×load×creates + 3%×fund×funds</t>
        </is>
      </c>
    </row>
    <row r="32">
      <c r="A32" s="28" t="inlineStr">
        <is>
          <t>★ NET MARGIN / client / mo (PPU)</t>
        </is>
      </c>
      <c r="B32" s="25">
        <f>B30-B31</f>
        <v/>
      </c>
      <c r="C32" s="25">
        <f>C30-C31</f>
        <v/>
      </c>
      <c r="D32" s="25">
        <f>D30-D31</f>
        <v/>
      </c>
      <c r="E32" s="22" t="inlineStr">
        <is>
          <t>Revenue minus 4payments variable costs</t>
        </is>
      </c>
    </row>
    <row r="34" ht="24" customHeight="1">
      <c r="A34" s="3" t="inlineStr">
        <is>
          <t>GROWTH &amp; CONVERSION (DECLINING CHURN)</t>
        </is>
      </c>
      <c r="B34" s="4" t="n"/>
      <c r="C34" s="4" t="n"/>
      <c r="D34" s="4" t="n"/>
      <c r="E34" s="4" t="n"/>
    </row>
    <row r="35" ht="22" customHeight="1">
      <c r="A35" s="18" t="inlineStr">
        <is>
          <t>Parameter</t>
        </is>
      </c>
      <c r="B35" s="18" t="inlineStr">
        <is>
          <t>Pessimistic</t>
        </is>
      </c>
      <c r="C35" s="18" t="inlineStr">
        <is>
          <t>Realistic</t>
        </is>
      </c>
      <c r="D35" s="18" t="inlineStr">
        <is>
          <t>Optimistic</t>
        </is>
      </c>
      <c r="E35" s="18" t="inlineStr">
        <is>
          <t>Notes</t>
        </is>
      </c>
    </row>
    <row r="36">
      <c r="A36" s="19" t="inlineStr">
        <is>
          <t>Month 1 Signups</t>
        </is>
      </c>
      <c r="B36" s="29" t="n">
        <v>10</v>
      </c>
      <c r="C36" s="29" t="n">
        <v>20</v>
      </c>
      <c r="D36" s="29" t="n">
        <v>30</v>
      </c>
      <c r="E36" s="22" t="inlineStr">
        <is>
          <t>Free tier = low friction</t>
        </is>
      </c>
    </row>
    <row r="37">
      <c r="A37" s="19" t="inlineStr">
        <is>
          <t>MoM Signup Growth %</t>
        </is>
      </c>
      <c r="B37" s="29" t="n">
        <v>15</v>
      </c>
      <c r="C37" s="29" t="n">
        <v>25</v>
      </c>
      <c r="D37" s="29" t="n">
        <v>35</v>
      </c>
      <c r="E37" s="22" t="inlineStr">
        <is>
          <t>Monthly growth rate</t>
        </is>
      </c>
    </row>
    <row r="38">
      <c r="A38" s="19" t="inlineStr">
        <is>
          <t>Signup → Free User %</t>
        </is>
      </c>
      <c r="B38" s="29" t="n">
        <v>25</v>
      </c>
      <c r="C38" s="29" t="n">
        <v>40</v>
      </c>
      <c r="D38" s="29" t="n">
        <v>60</v>
      </c>
      <c r="E38" s="22" t="inlineStr">
        <is>
          <t>Free tier conversion (no cost)</t>
        </is>
      </c>
    </row>
    <row r="39">
      <c r="A39" s="19" t="inlineStr">
        <is>
          <t>Free → Paying %</t>
        </is>
      </c>
      <c r="B39" s="29" t="n">
        <v>15</v>
      </c>
      <c r="C39" s="29" t="n">
        <v>25</v>
      </c>
      <c r="D39" s="29" t="n">
        <v>40</v>
      </c>
      <c r="E39" s="22" t="inlineStr">
        <is>
          <t>Upgrade to paid over lifetime</t>
        </is>
      </c>
    </row>
    <row r="40">
      <c r="A40" s="19" t="inlineStr">
        <is>
          <t>Mo 1-3 Churn %</t>
        </is>
      </c>
      <c r="B40" s="29" t="n">
        <v>15</v>
      </c>
      <c r="C40" s="29" t="n">
        <v>12</v>
      </c>
      <c r="D40" s="29" t="n">
        <v>8</v>
      </c>
      <c r="E40" s="22" t="inlineStr">
        <is>
          <t>Early stage — high churn</t>
        </is>
      </c>
    </row>
    <row r="41">
      <c r="A41" s="19" t="inlineStr">
        <is>
          <t>Mo 4-6 Churn %</t>
        </is>
      </c>
      <c r="B41" s="29" t="n">
        <v>10</v>
      </c>
      <c r="C41" s="29" t="n">
        <v>8</v>
      </c>
      <c r="D41" s="29" t="n">
        <v>5</v>
      </c>
      <c r="E41" s="22" t="inlineStr">
        <is>
          <t>Stabilizing</t>
        </is>
      </c>
    </row>
    <row r="42">
      <c r="A42" s="19" t="inlineStr">
        <is>
          <t>Mo 7-12 Churn %</t>
        </is>
      </c>
      <c r="B42" s="29" t="n">
        <v>8</v>
      </c>
      <c r="C42" s="29" t="n">
        <v>5</v>
      </c>
      <c r="D42" s="29" t="n">
        <v>3</v>
      </c>
      <c r="E42" s="22" t="inlineStr">
        <is>
          <t>Product-market fit</t>
        </is>
      </c>
    </row>
    <row r="44" ht="24" customHeight="1">
      <c r="A44" s="3" t="inlineStr">
        <is>
          <t>MONTHLY FIXED COSTS ($)</t>
        </is>
      </c>
      <c r="B44" s="4" t="n"/>
      <c r="C44" s="4" t="n"/>
      <c r="D44" s="4" t="n"/>
      <c r="E44" s="4" t="n"/>
    </row>
    <row r="45" ht="22" customHeight="1">
      <c r="A45" s="18" t="inlineStr">
        <is>
          <t>Category</t>
        </is>
      </c>
      <c r="B45" s="18" t="inlineStr">
        <is>
          <t>Pessimistic</t>
        </is>
      </c>
      <c r="C45" s="18" t="inlineStr">
        <is>
          <t>Realistic</t>
        </is>
      </c>
      <c r="D45" s="18" t="inlineStr">
        <is>
          <t>Optimistic</t>
        </is>
      </c>
      <c r="E45" s="18" t="inlineStr">
        <is>
          <t>Notes</t>
        </is>
      </c>
    </row>
    <row r="46">
      <c r="A46" s="19" t="inlineStr">
        <is>
          <t>Hosting (Vercel+Supabase+Stellar)</t>
        </is>
      </c>
      <c r="B46" s="30" t="n">
        <v>100</v>
      </c>
      <c r="C46" s="30" t="n">
        <v>150</v>
      </c>
      <c r="D46" s="30" t="n">
        <v>200</v>
      </c>
      <c r="E46" s="22" t="inlineStr">
        <is>
          <t>Scales with usage</t>
        </is>
      </c>
    </row>
    <row r="47">
      <c r="A47" s="19" t="inlineStr">
        <is>
          <t>4payments Platform Fee</t>
        </is>
      </c>
      <c r="B47" s="30" t="n">
        <v>75</v>
      </c>
      <c r="C47" s="30" t="n">
        <v>75</v>
      </c>
      <c r="D47" s="30" t="n">
        <v>75</v>
      </c>
      <c r="E47" s="22" t="inlineStr">
        <is>
          <t>Fixed monthly</t>
        </is>
      </c>
    </row>
    <row r="48">
      <c r="A48" s="19" t="inlineStr">
        <is>
          <t>Domain+Tooling+SaaS</t>
        </is>
      </c>
      <c r="B48" s="30" t="n">
        <v>20</v>
      </c>
      <c r="C48" s="30" t="n">
        <v>30</v>
      </c>
      <c r="D48" s="30" t="n">
        <v>40</v>
      </c>
      <c r="E48" s="22" t="inlineStr">
        <is>
          <t>DNS, CI, monitoring</t>
        </is>
      </c>
    </row>
    <row r="49">
      <c r="A49" s="19" t="inlineStr">
        <is>
          <t>Marketing &amp; Content</t>
        </is>
      </c>
      <c r="B49" s="30" t="n">
        <v>100</v>
      </c>
      <c r="C49" s="30" t="n">
        <v>250</v>
      </c>
      <c r="D49" s="30" t="n">
        <v>500</v>
      </c>
      <c r="E49" s="22" t="inlineStr">
        <is>
          <t>Ads, content, events</t>
        </is>
      </c>
    </row>
    <row r="50">
      <c r="A50" s="19" t="inlineStr">
        <is>
          <t>CTO / Developer</t>
        </is>
      </c>
      <c r="B50" s="30" t="n">
        <v>0</v>
      </c>
      <c r="C50" s="30" t="n">
        <v>0</v>
      </c>
      <c r="D50" s="30" t="n">
        <v>2000</v>
      </c>
      <c r="E50" s="22" t="inlineStr">
        <is>
          <t>Contractor</t>
        </is>
      </c>
    </row>
    <row r="51">
      <c r="A51" s="19" t="inlineStr">
        <is>
          <t>Legal / Compliance</t>
        </is>
      </c>
      <c r="B51" s="30" t="n">
        <v>0</v>
      </c>
      <c r="C51" s="30" t="n">
        <v>50</v>
      </c>
      <c r="D51" s="30" t="n">
        <v>100</v>
      </c>
      <c r="E51" s="22" t="inlineStr">
        <is>
          <t>Periodic</t>
        </is>
      </c>
    </row>
    <row r="52">
      <c r="A52" s="19" t="inlineStr">
        <is>
          <t>Founder Opportunity Cost</t>
        </is>
      </c>
      <c r="B52" s="30" t="n">
        <v>3600</v>
      </c>
      <c r="C52" s="30" t="n">
        <v>3600</v>
      </c>
      <c r="D52" s="30" t="n">
        <v>3600</v>
      </c>
      <c r="E52" s="22" t="inlineStr">
        <is>
          <t>NOT in P&amp;L</t>
        </is>
      </c>
    </row>
    <row r="53">
      <c r="A53" s="31" t="inlineStr">
        <is>
          <t>TOTAL FIXED COSTS</t>
        </is>
      </c>
      <c r="B53" s="32">
        <f>SUM(B46:B51)</f>
        <v/>
      </c>
      <c r="C53" s="32">
        <f>SUM(C46:C51)</f>
        <v/>
      </c>
      <c r="D53" s="32">
        <f>SUM(D46:D51)</f>
        <v/>
      </c>
      <c r="E53" s="22" t="inlineStr">
        <is>
          <t>Excludes founder opp cost</t>
        </is>
      </c>
    </row>
    <row r="55" ht="24" customHeight="1">
      <c r="A55" s="3" t="inlineStr">
        <is>
          <t>ONE-TIME COSTS</t>
        </is>
      </c>
      <c r="B55" s="4" t="n"/>
      <c r="C55" s="4" t="n"/>
      <c r="D55" s="4" t="n"/>
      <c r="E55" s="4" t="n"/>
    </row>
    <row r="56">
      <c r="A56" s="26" t="inlineStr">
        <is>
          <t>4payments Setup Fee</t>
        </is>
      </c>
      <c r="B56" s="33" t="n">
        <v>4500</v>
      </c>
      <c r="E56" s="22" t="inlineStr">
        <is>
          <t>Paid once at start</t>
        </is>
      </c>
    </row>
    <row r="58" ht="24" customHeight="1">
      <c r="A58" s="3" t="inlineStr">
        <is>
          <t>CUSTOMER ACQUISITION</t>
        </is>
      </c>
      <c r="B58" s="4" t="n"/>
      <c r="C58" s="4" t="n"/>
      <c r="D58" s="4" t="n"/>
      <c r="E58" s="4" t="n"/>
    </row>
    <row r="59" ht="22" customHeight="1">
      <c r="A59" s="18" t="inlineStr">
        <is>
          <t>Parameter</t>
        </is>
      </c>
      <c r="B59" s="18" t="inlineStr">
        <is>
          <t>Pessimistic</t>
        </is>
      </c>
      <c r="C59" s="18" t="inlineStr">
        <is>
          <t>Realistic</t>
        </is>
      </c>
      <c r="D59" s="18" t="inlineStr">
        <is>
          <t>Optimistic</t>
        </is>
      </c>
      <c r="E59" s="18" t="inlineStr">
        <is>
          <t>Notes</t>
        </is>
      </c>
    </row>
    <row r="60">
      <c r="A60" s="19" t="inlineStr">
        <is>
          <t>Blended CAC ($)</t>
        </is>
      </c>
      <c r="B60" s="30" t="n">
        <v>25</v>
      </c>
      <c r="C60" s="30" t="n">
        <v>20</v>
      </c>
      <c r="D60" s="30" t="n">
        <v>10</v>
      </c>
      <c r="E60" s="22" t="inlineStr">
        <is>
          <t>Weighted avg across channels</t>
        </is>
      </c>
    </row>
    <row r="61">
      <c r="A61" s="19" t="inlineStr">
        <is>
          <t>Avg Client Lifetime (mo)</t>
        </is>
      </c>
      <c r="B61" s="29" t="n">
        <v>6</v>
      </c>
      <c r="C61" s="29" t="n">
        <v>9</v>
      </c>
      <c r="D61" s="29" t="n">
        <v>14</v>
      </c>
      <c r="E61" s="22" t="inlineStr">
        <is>
          <t>≈ 1 / avg churn</t>
        </is>
      </c>
    </row>
    <row r="63" ht="24" customHeight="1">
      <c r="A63" s="3" t="inlineStr">
        <is>
          <t>FUNDING &amp; RUNWAY</t>
        </is>
      </c>
      <c r="B63" s="4" t="n"/>
      <c r="C63" s="4" t="n"/>
      <c r="D63" s="4" t="n"/>
      <c r="E63" s="4" t="n"/>
    </row>
    <row r="64" ht="22" customHeight="1">
      <c r="A64" s="18" t="inlineStr">
        <is>
          <t>Parameter</t>
        </is>
      </c>
      <c r="B64" s="18" t="inlineStr">
        <is>
          <t>Value</t>
        </is>
      </c>
      <c r="C64" s="18" t="inlineStr"/>
      <c r="D64" s="18" t="inlineStr"/>
      <c r="E64" s="18" t="inlineStr">
        <is>
          <t>Notes</t>
        </is>
      </c>
    </row>
    <row r="65">
      <c r="A65" s="19" t="inlineStr">
        <is>
          <t>Cash on Hand</t>
        </is>
      </c>
      <c r="B65" s="30" t="n">
        <v>2000</v>
      </c>
      <c r="E65" s="22" t="inlineStr">
        <is>
          <t>Personal</t>
        </is>
      </c>
    </row>
    <row r="66">
      <c r="A66" s="19" t="inlineStr">
        <is>
          <t>SCF Grant</t>
        </is>
      </c>
      <c r="B66" s="30" t="n">
        <v>10000</v>
      </c>
      <c r="E66" s="22" t="inlineStr">
        <is>
          <t>80-120K XLM</t>
        </is>
      </c>
    </row>
    <row r="67">
      <c r="A67" s="19" t="inlineStr">
        <is>
          <t>Monthly Budget</t>
        </is>
      </c>
      <c r="B67" s="30" t="n">
        <v>500</v>
      </c>
      <c r="E67" s="22" t="inlineStr">
        <is>
          <t>Personal</t>
        </is>
      </c>
    </row>
  </sheetData>
  <mergeCells count="10">
    <mergeCell ref="A34:E34"/>
    <mergeCell ref="A29:E29"/>
    <mergeCell ref="A4:E4"/>
    <mergeCell ref="A55:E55"/>
    <mergeCell ref="A11:E11"/>
    <mergeCell ref="A63:E63"/>
    <mergeCell ref="A1:E1"/>
    <mergeCell ref="A44:E44"/>
    <mergeCell ref="A58:E58"/>
    <mergeCell ref="A22:E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6D6A0"/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30" customWidth="1" min="6" max="6"/>
  </cols>
  <sheetData>
    <row r="1" ht="30" customHeight="1">
      <c r="A1" s="15" t="inlineStr">
        <is>
          <t>UNIT ECONOMICS (AUDITED)</t>
        </is>
      </c>
      <c r="B1" s="16" t="n"/>
      <c r="C1" s="16" t="n"/>
      <c r="D1" s="16" t="n"/>
      <c r="E1" s="16" t="n"/>
      <c r="F1" s="16" t="n"/>
    </row>
    <row r="3" ht="24" customHeight="1">
      <c r="A3" s="3" t="inlineStr">
        <is>
          <t>REAL MARGIN PER CREATE TRANSACTION</t>
        </is>
      </c>
      <c r="B3" s="4" t="n"/>
      <c r="C3" s="4" t="n"/>
      <c r="D3" s="4" t="n"/>
      <c r="E3" s="4" t="n"/>
      <c r="F3" s="4" t="n"/>
    </row>
    <row r="4" ht="22" customHeight="1">
      <c r="A4" s="18" t="inlineStr">
        <is>
          <t>Tier</t>
        </is>
      </c>
      <c r="B4" s="18" t="inlineStr">
        <is>
          <t>You Charge</t>
        </is>
      </c>
      <c r="C4" s="18" t="inlineStr">
        <is>
          <t>4p Cost</t>
        </is>
      </c>
      <c r="D4" s="18" t="inlineStr">
        <is>
          <t>YOUR Net</t>
        </is>
      </c>
      <c r="E4" s="18" t="inlineStr">
        <is>
          <t>Margin %</t>
        </is>
      </c>
      <c r="F4" s="18" t="inlineStr">
        <is>
          <t>Notes</t>
        </is>
      </c>
    </row>
    <row r="5">
      <c r="A5" s="19" t="inlineStr">
        <is>
          <t>Create $10</t>
        </is>
      </c>
      <c r="B5" s="34" t="n">
        <v>4.2</v>
      </c>
      <c r="C5" s="35" t="n">
        <v>3.3</v>
      </c>
      <c r="D5" s="36" t="n">
        <v>0.9000000000000004</v>
      </c>
      <c r="E5" s="37" t="inlineStr">
        <is>
          <t>21%</t>
        </is>
      </c>
      <c r="F5" s="22" t="inlineStr">
        <is>
          <t>⚠️ Thin</t>
        </is>
      </c>
    </row>
    <row r="6">
      <c r="A6" s="19" t="inlineStr">
        <is>
          <t>Create $25</t>
        </is>
      </c>
      <c r="B6" s="34" t="n">
        <v>4.5</v>
      </c>
      <c r="C6" s="35" t="n">
        <v>3.75</v>
      </c>
      <c r="D6" s="36" t="n">
        <v>0.75</v>
      </c>
      <c r="E6" s="37" t="inlineStr">
        <is>
          <t>17%</t>
        </is>
      </c>
      <c r="F6" s="22" t="inlineStr">
        <is>
          <t>⚠️ Thin</t>
        </is>
      </c>
    </row>
    <row r="7">
      <c r="A7" s="19" t="inlineStr">
        <is>
          <t>Create $50</t>
        </is>
      </c>
      <c r="B7" s="34" t="n">
        <v>5</v>
      </c>
      <c r="C7" s="35" t="n">
        <v>4.5</v>
      </c>
      <c r="D7" s="36" t="n">
        <v>0.5</v>
      </c>
      <c r="E7" s="37" t="inlineStr">
        <is>
          <t>10%</t>
        </is>
      </c>
      <c r="F7" s="22" t="inlineStr">
        <is>
          <t>⚠️ Thin</t>
        </is>
      </c>
    </row>
    <row r="8">
      <c r="A8" s="19" t="inlineStr">
        <is>
          <t>Create $100</t>
        </is>
      </c>
      <c r="B8" s="34" t="n">
        <v>7</v>
      </c>
      <c r="C8" s="35" t="n">
        <v>6</v>
      </c>
      <c r="D8" s="38" t="n">
        <v>1</v>
      </c>
      <c r="E8" s="37" t="inlineStr">
        <is>
          <t>14%</t>
        </is>
      </c>
      <c r="F8" s="22" t="inlineStr">
        <is>
          <t>✅ OK</t>
        </is>
      </c>
    </row>
    <row r="9">
      <c r="A9" s="19" t="inlineStr">
        <is>
          <t>Create $200</t>
        </is>
      </c>
      <c r="B9" s="34" t="n">
        <v>11</v>
      </c>
      <c r="C9" s="35" t="n">
        <v>9</v>
      </c>
      <c r="D9" s="25" t="n">
        <v>2</v>
      </c>
      <c r="E9" s="39" t="inlineStr">
        <is>
          <t>18%</t>
        </is>
      </c>
      <c r="F9" s="22" t="inlineStr">
        <is>
          <t>✅ Good</t>
        </is>
      </c>
    </row>
    <row r="10">
      <c r="A10" s="19" t="inlineStr">
        <is>
          <t>Create $500</t>
        </is>
      </c>
      <c r="B10" s="34" t="n">
        <v>19</v>
      </c>
      <c r="C10" s="35" t="n">
        <v>18</v>
      </c>
      <c r="D10" s="38" t="n">
        <v>1</v>
      </c>
      <c r="E10" s="37" t="inlineStr">
        <is>
          <t>5%</t>
        </is>
      </c>
      <c r="F10" s="22" t="inlineStr">
        <is>
          <t>✅ OK</t>
        </is>
      </c>
    </row>
    <row r="12" ht="24" customHeight="1">
      <c r="A12" s="3" t="inlineStr">
        <is>
          <t>REAL MARGIN PER FUND TRANSACTION</t>
        </is>
      </c>
      <c r="B12" s="4" t="n"/>
      <c r="C12" s="4" t="n"/>
      <c r="D12" s="4" t="n"/>
      <c r="E12" s="4" t="n"/>
      <c r="F12" s="4" t="n"/>
    </row>
    <row r="13" ht="22" customHeight="1">
      <c r="A13" s="18" t="inlineStr">
        <is>
          <t>Tier</t>
        </is>
      </c>
      <c r="B13" s="18" t="inlineStr">
        <is>
          <t>You Charge</t>
        </is>
      </c>
      <c r="C13" s="18" t="inlineStr">
        <is>
          <t>4p Cost</t>
        </is>
      </c>
      <c r="D13" s="18" t="inlineStr">
        <is>
          <t>YOUR Net</t>
        </is>
      </c>
      <c r="E13" s="18" t="inlineStr">
        <is>
          <t>Margin %</t>
        </is>
      </c>
      <c r="F13" s="18" t="inlineStr">
        <is>
          <t>Notes</t>
        </is>
      </c>
    </row>
    <row r="14">
      <c r="A14" s="19" t="inlineStr">
        <is>
          <t>Fund $10</t>
        </is>
      </c>
      <c r="B14" s="34" t="n">
        <v>4.2</v>
      </c>
      <c r="C14" s="35" t="n">
        <v>0.3</v>
      </c>
      <c r="D14" s="25" t="n">
        <v>3.9</v>
      </c>
      <c r="E14" s="39" t="inlineStr">
        <is>
          <t>93%</t>
        </is>
      </c>
      <c r="F14" s="22" t="inlineStr">
        <is>
          <t>✅ Good</t>
        </is>
      </c>
    </row>
    <row r="15">
      <c r="A15" s="19" t="inlineStr">
        <is>
          <t>Fund $25</t>
        </is>
      </c>
      <c r="B15" s="34" t="n">
        <v>4.5</v>
      </c>
      <c r="C15" s="35" t="n">
        <v>0.75</v>
      </c>
      <c r="D15" s="25" t="n">
        <v>3.75</v>
      </c>
      <c r="E15" s="39" t="inlineStr">
        <is>
          <t>83%</t>
        </is>
      </c>
      <c r="F15" s="22" t="inlineStr">
        <is>
          <t>✅ Good</t>
        </is>
      </c>
    </row>
    <row r="16">
      <c r="A16" s="19" t="inlineStr">
        <is>
          <t>Fund $50</t>
        </is>
      </c>
      <c r="B16" s="34" t="n">
        <v>5</v>
      </c>
      <c r="C16" s="35" t="n">
        <v>1.5</v>
      </c>
      <c r="D16" s="25" t="n">
        <v>3.5</v>
      </c>
      <c r="E16" s="39" t="inlineStr">
        <is>
          <t>70%</t>
        </is>
      </c>
      <c r="F16" s="22" t="inlineStr">
        <is>
          <t>✅ Good</t>
        </is>
      </c>
    </row>
    <row r="17">
      <c r="A17" s="19" t="inlineStr">
        <is>
          <t>Fund $100</t>
        </is>
      </c>
      <c r="B17" s="34" t="n">
        <v>7</v>
      </c>
      <c r="C17" s="35" t="n">
        <v>3</v>
      </c>
      <c r="D17" s="25" t="n">
        <v>4</v>
      </c>
      <c r="E17" s="39" t="inlineStr">
        <is>
          <t>57%</t>
        </is>
      </c>
      <c r="F17" s="22" t="inlineStr">
        <is>
          <t>✅ Good</t>
        </is>
      </c>
    </row>
    <row r="18">
      <c r="A18" s="19" t="inlineStr">
        <is>
          <t>Fund $200</t>
        </is>
      </c>
      <c r="B18" s="34" t="n">
        <v>11</v>
      </c>
      <c r="C18" s="35" t="n">
        <v>6</v>
      </c>
      <c r="D18" s="25" t="n">
        <v>5</v>
      </c>
      <c r="E18" s="39" t="inlineStr">
        <is>
          <t>45%</t>
        </is>
      </c>
      <c r="F18" s="22" t="inlineStr">
        <is>
          <t>✅ Good</t>
        </is>
      </c>
    </row>
    <row r="19">
      <c r="A19" s="19" t="inlineStr">
        <is>
          <t>Fund $500</t>
        </is>
      </c>
      <c r="B19" s="34" t="n">
        <v>19</v>
      </c>
      <c r="C19" s="35" t="n">
        <v>15</v>
      </c>
      <c r="D19" s="25" t="n">
        <v>4</v>
      </c>
      <c r="E19" s="39" t="inlineStr">
        <is>
          <t>21%</t>
        </is>
      </c>
      <c r="F19" s="22" t="inlineStr">
        <is>
          <t>✅ Good</t>
        </is>
      </c>
    </row>
    <row r="21" ht="24" customHeight="1">
      <c r="A21" s="3" t="inlineStr">
        <is>
          <t>KEY RATIOS (linked to Assumptions)</t>
        </is>
      </c>
      <c r="B21" s="4" t="n"/>
      <c r="C21" s="4" t="n"/>
      <c r="D21" s="4" t="n"/>
      <c r="E21" s="4" t="n"/>
      <c r="F21" s="4" t="n"/>
    </row>
    <row r="22" ht="22" customHeight="1">
      <c r="A22" s="18" t="inlineStr">
        <is>
          <t>Metric</t>
        </is>
      </c>
      <c r="B22" s="18" t="inlineStr">
        <is>
          <t>Pessimistic</t>
        </is>
      </c>
      <c r="C22" s="18" t="inlineStr">
        <is>
          <t>Realistic</t>
        </is>
      </c>
      <c r="D22" s="18" t="inlineStr">
        <is>
          <t>Optimistic</t>
        </is>
      </c>
      <c r="E22" s="18" t="inlineStr"/>
      <c r="F22" s="18" t="inlineStr">
        <is>
          <t>Formula</t>
        </is>
      </c>
    </row>
    <row r="23">
      <c r="A23" s="40" t="inlineStr">
        <is>
          <t>Net Margin/client ($/mo)</t>
        </is>
      </c>
      <c r="B23" s="25">
        <f>Assumptions!B32</f>
        <v/>
      </c>
      <c r="C23" s="25">
        <f>Assumptions!C32</f>
        <v/>
      </c>
      <c r="D23" s="25">
        <f>Assumptions!D32</f>
        <v/>
      </c>
      <c r="F23" s="22" t="inlineStr">
        <is>
          <t>After 4p COGS</t>
        </is>
      </c>
    </row>
    <row r="24">
      <c r="A24" s="40" t="inlineStr">
        <is>
          <t>CAC ($)</t>
        </is>
      </c>
      <c r="B24" s="25">
        <f>Assumptions!B60</f>
        <v/>
      </c>
      <c r="C24" s="25">
        <f>Assumptions!C60</f>
        <v/>
      </c>
      <c r="D24" s="25">
        <f>Assumptions!D60</f>
        <v/>
      </c>
      <c r="F24" s="22" t="inlineStr">
        <is>
          <t>Blended</t>
        </is>
      </c>
    </row>
    <row r="25">
      <c r="A25" s="40" t="inlineStr">
        <is>
          <t>LTV ($)</t>
        </is>
      </c>
      <c r="B25" s="25">
        <f>B23*Assumptions!B61</f>
        <v/>
      </c>
      <c r="C25" s="25">
        <f>C23*Assumptions!C61</f>
        <v/>
      </c>
      <c r="D25" s="25">
        <f>D23*Assumptions!D61</f>
        <v/>
      </c>
      <c r="F25" s="22" t="inlineStr">
        <is>
          <t>Margin×Lifetime</t>
        </is>
      </c>
    </row>
    <row r="26">
      <c r="A26" s="40" t="inlineStr">
        <is>
          <t>LTV/CAC</t>
        </is>
      </c>
      <c r="B26" s="25">
        <f>B25/B24</f>
        <v/>
      </c>
      <c r="C26" s="25">
        <f>C25/C24</f>
        <v/>
      </c>
      <c r="D26" s="25">
        <f>D25/D24</f>
        <v/>
      </c>
      <c r="F26" s="22" t="inlineStr">
        <is>
          <t>Target: &gt;3x</t>
        </is>
      </c>
    </row>
    <row r="27">
      <c r="A27" s="40" t="inlineStr">
        <is>
          <t>Payback (mo)</t>
        </is>
      </c>
      <c r="B27" s="25">
        <f>B24/B23</f>
        <v/>
      </c>
      <c r="C27" s="25">
        <f>C24/C23</f>
        <v/>
      </c>
      <c r="D27" s="25">
        <f>D24/D23</f>
        <v/>
      </c>
      <c r="F27" s="22" t="inlineStr">
        <is>
          <t>CAC/Margin</t>
        </is>
      </c>
    </row>
  </sheetData>
  <mergeCells count="4">
    <mergeCell ref="A3:F3"/>
    <mergeCell ref="A21:F21"/>
    <mergeCell ref="A1:F1"/>
    <mergeCell ref="A12:F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9D2C0"/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A1" s="15" t="inlineStr">
        <is>
          <t>USER GROWTH — REALISTIC (Declining Churn)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</row>
    <row r="2" ht="22" customHeight="1">
      <c r="A2" s="18" t="inlineStr"/>
      <c r="B2" s="18" t="inlineStr">
        <is>
          <t>Mo 1</t>
        </is>
      </c>
      <c r="C2" s="18" t="inlineStr">
        <is>
          <t>Mo 2</t>
        </is>
      </c>
      <c r="D2" s="18" t="inlineStr">
        <is>
          <t>Mo 3</t>
        </is>
      </c>
      <c r="E2" s="18" t="inlineStr">
        <is>
          <t>Mo 4</t>
        </is>
      </c>
      <c r="F2" s="18" t="inlineStr">
        <is>
          <t>Mo 5</t>
        </is>
      </c>
      <c r="G2" s="18" t="inlineStr">
        <is>
          <t>Mo 6</t>
        </is>
      </c>
      <c r="H2" s="18" t="inlineStr">
        <is>
          <t>Mo 7</t>
        </is>
      </c>
      <c r="I2" s="18" t="inlineStr">
        <is>
          <t>Mo 8</t>
        </is>
      </c>
      <c r="J2" s="18" t="inlineStr">
        <is>
          <t>Mo 9</t>
        </is>
      </c>
      <c r="K2" s="18" t="inlineStr">
        <is>
          <t>Mo 10</t>
        </is>
      </c>
      <c r="L2" s="18" t="inlineStr">
        <is>
          <t>Mo 11</t>
        </is>
      </c>
      <c r="M2" s="18" t="inlineStr">
        <is>
          <t>Mo 12</t>
        </is>
      </c>
    </row>
    <row r="3">
      <c r="A3" s="19" t="inlineStr">
        <is>
          <t>New Signups</t>
        </is>
      </c>
      <c r="B3" s="41">
        <f>Assumptions!C36</f>
        <v/>
      </c>
      <c r="C3" s="41">
        <f>ROUND(B3*(1+Assumptions!C37/100),0)</f>
        <v/>
      </c>
      <c r="D3" s="41">
        <f>ROUND(C3*(1+Assumptions!C37/100),0)</f>
        <v/>
      </c>
      <c r="E3" s="41">
        <f>ROUND(D3*(1+Assumptions!C37/100),0)</f>
        <v/>
      </c>
      <c r="F3" s="41">
        <f>ROUND(E3*(1+Assumptions!C37/100),0)</f>
        <v/>
      </c>
      <c r="G3" s="41">
        <f>ROUND(F3*(1+Assumptions!C37/100),0)</f>
        <v/>
      </c>
      <c r="H3" s="41">
        <f>ROUND(G3*(1+Assumptions!C37/100),0)</f>
        <v/>
      </c>
      <c r="I3" s="41">
        <f>ROUND(H3*(1+Assumptions!C37/100),0)</f>
        <v/>
      </c>
      <c r="J3" s="41">
        <f>ROUND(I3*(1+Assumptions!C37/100),0)</f>
        <v/>
      </c>
      <c r="K3" s="41">
        <f>ROUND(J3*(1+Assumptions!C37/100),0)</f>
        <v/>
      </c>
      <c r="L3" s="41">
        <f>ROUND(K3*(1+Assumptions!C37/100),0)</f>
        <v/>
      </c>
      <c r="M3" s="41">
        <f>ROUND(L3*(1+Assumptions!C37/100),0)</f>
        <v/>
      </c>
    </row>
    <row r="4">
      <c r="A4" s="42" t="inlineStr">
        <is>
          <t>New Free Users</t>
        </is>
      </c>
      <c r="B4" s="43">
        <f>ROUND(B3*Assumptions!C38/100,0)</f>
        <v/>
      </c>
      <c r="C4" s="43">
        <f>ROUND(C3*Assumptions!C38/100,0)</f>
        <v/>
      </c>
      <c r="D4" s="43">
        <f>ROUND(D3*Assumptions!C38/100,0)</f>
        <v/>
      </c>
      <c r="E4" s="43">
        <f>ROUND(E3*Assumptions!C38/100,0)</f>
        <v/>
      </c>
      <c r="F4" s="43">
        <f>ROUND(F3*Assumptions!C38/100,0)</f>
        <v/>
      </c>
      <c r="G4" s="43">
        <f>ROUND(G3*Assumptions!C38/100,0)</f>
        <v/>
      </c>
      <c r="H4" s="43">
        <f>ROUND(H3*Assumptions!C38/100,0)</f>
        <v/>
      </c>
      <c r="I4" s="43">
        <f>ROUND(I3*Assumptions!C38/100,0)</f>
        <v/>
      </c>
      <c r="J4" s="43">
        <f>ROUND(J3*Assumptions!C38/100,0)</f>
        <v/>
      </c>
      <c r="K4" s="43">
        <f>ROUND(K3*Assumptions!C38/100,0)</f>
        <v/>
      </c>
      <c r="L4" s="43">
        <f>ROUND(L3*Assumptions!C38/100,0)</f>
        <v/>
      </c>
      <c r="M4" s="43">
        <f>ROUND(M3*Assumptions!C38/100,0)</f>
        <v/>
      </c>
    </row>
    <row r="5">
      <c r="A5" s="44" t="inlineStr">
        <is>
          <t>New Paying (free→paid)</t>
        </is>
      </c>
      <c r="B5" s="45">
        <f>ROUND(B4*Assumptions!C39/100,0)</f>
        <v/>
      </c>
      <c r="C5" s="45">
        <f>ROUND(C4*Assumptions!C39/100,0)</f>
        <v/>
      </c>
      <c r="D5" s="45">
        <f>ROUND(D4*Assumptions!C39/100,0)</f>
        <v/>
      </c>
      <c r="E5" s="45">
        <f>ROUND(E4*Assumptions!C39/100,0)</f>
        <v/>
      </c>
      <c r="F5" s="45">
        <f>ROUND(F4*Assumptions!C39/100,0)</f>
        <v/>
      </c>
      <c r="G5" s="45">
        <f>ROUND(G4*Assumptions!C39/100,0)</f>
        <v/>
      </c>
      <c r="H5" s="45">
        <f>ROUND(H4*Assumptions!C39/100,0)</f>
        <v/>
      </c>
      <c r="I5" s="45">
        <f>ROUND(I4*Assumptions!C39/100,0)</f>
        <v/>
      </c>
      <c r="J5" s="45">
        <f>ROUND(J4*Assumptions!C39/100,0)</f>
        <v/>
      </c>
      <c r="K5" s="45">
        <f>ROUND(K4*Assumptions!C39/100,0)</f>
        <v/>
      </c>
      <c r="L5" s="45">
        <f>ROUND(L4*Assumptions!C39/100,0)</f>
        <v/>
      </c>
      <c r="M5" s="45">
        <f>ROUND(M4*Assumptions!C39/100,0)</f>
        <v/>
      </c>
    </row>
    <row r="6">
      <c r="A6" s="26" t="inlineStr">
        <is>
          <t>Churned (declining)</t>
        </is>
      </c>
      <c r="B6" s="46" t="n">
        <v>0</v>
      </c>
      <c r="C6" s="46">
        <f>ROUND(B7*Assumptions!C40/100,0)</f>
        <v/>
      </c>
      <c r="D6" s="46">
        <f>ROUND(C7*Assumptions!C40/100,0)</f>
        <v/>
      </c>
      <c r="E6" s="46">
        <f>ROUND(D7*Assumptions!C41/100,0)</f>
        <v/>
      </c>
      <c r="F6" s="46">
        <f>ROUND(E7*Assumptions!C41/100,0)</f>
        <v/>
      </c>
      <c r="G6" s="46">
        <f>ROUND(F7*Assumptions!C41/100,0)</f>
        <v/>
      </c>
      <c r="H6" s="46">
        <f>ROUND(G7*Assumptions!C42/100,0)</f>
        <v/>
      </c>
      <c r="I6" s="46">
        <f>ROUND(H7*Assumptions!C42/100,0)</f>
        <v/>
      </c>
      <c r="J6" s="46">
        <f>ROUND(I7*Assumptions!C42/100,0)</f>
        <v/>
      </c>
      <c r="K6" s="46">
        <f>ROUND(J7*Assumptions!C42/100,0)</f>
        <v/>
      </c>
      <c r="L6" s="46">
        <f>ROUND(K7*Assumptions!C42/100,0)</f>
        <v/>
      </c>
      <c r="M6" s="46">
        <f>ROUND(L7*Assumptions!C42/100,0)</f>
        <v/>
      </c>
    </row>
    <row r="7">
      <c r="A7" s="47" t="inlineStr">
        <is>
          <t>TOTAL ACTIVE PAYING</t>
        </is>
      </c>
      <c r="B7" s="48">
        <f>B5</f>
        <v/>
      </c>
      <c r="C7" s="48">
        <f>B7+C5-C6</f>
        <v/>
      </c>
      <c r="D7" s="48">
        <f>C7+D5-D6</f>
        <v/>
      </c>
      <c r="E7" s="48">
        <f>D7+E5-E6</f>
        <v/>
      </c>
      <c r="F7" s="48">
        <f>E7+F5-F6</f>
        <v/>
      </c>
      <c r="G7" s="48">
        <f>F7+G5-G6</f>
        <v/>
      </c>
      <c r="H7" s="48">
        <f>G7+H5-H6</f>
        <v/>
      </c>
      <c r="I7" s="48">
        <f>H7+I5-I6</f>
        <v/>
      </c>
      <c r="J7" s="48">
        <f>I7+J5-J6</f>
        <v/>
      </c>
      <c r="K7" s="48">
        <f>J7+K5-K6</f>
        <v/>
      </c>
      <c r="L7" s="48">
        <f>K7+L5-L6</f>
        <v/>
      </c>
      <c r="M7" s="48">
        <f>L7+M5-M6</f>
        <v/>
      </c>
    </row>
    <row r="8">
      <c r="A8" s="49" t="inlineStr">
        <is>
          <t xml:space="preserve">  ↳ Pro Subscribers</t>
        </is>
      </c>
      <c r="B8" s="50">
        <f>ROUND(B7*Assumptions!C25/100,0)</f>
        <v/>
      </c>
      <c r="C8" s="50">
        <f>ROUND(C7*(Assumptions!C25+(Assumptions!C26-Assumptions!C25)*(2-1)/5)/100,0)</f>
        <v/>
      </c>
      <c r="D8" s="50">
        <f>ROUND(D7*(Assumptions!C25+(Assumptions!C26-Assumptions!C25)*(3-1)/5)/100,0)</f>
        <v/>
      </c>
      <c r="E8" s="50">
        <f>ROUND(E7*(Assumptions!C25+(Assumptions!C26-Assumptions!C25)*(4-1)/5)/100,0)</f>
        <v/>
      </c>
      <c r="F8" s="50">
        <f>ROUND(F7*(Assumptions!C25+(Assumptions!C26-Assumptions!C25)*(5-1)/5)/100,0)</f>
        <v/>
      </c>
      <c r="G8" s="50">
        <f>ROUND(G7*(Assumptions!C25+(Assumptions!C26-Assumptions!C25)*(6-1)/5)/100,0)</f>
        <v/>
      </c>
      <c r="H8" s="50">
        <f>ROUND(H7*(Assumptions!C26+(Assumptions!C27-Assumptions!C26)*(7-6)/6)/100,0)</f>
        <v/>
      </c>
      <c r="I8" s="50">
        <f>ROUND(I7*(Assumptions!C26+(Assumptions!C27-Assumptions!C26)*(8-6)/6)/100,0)</f>
        <v/>
      </c>
      <c r="J8" s="50">
        <f>ROUND(J7*(Assumptions!C26+(Assumptions!C27-Assumptions!C26)*(9-6)/6)/100,0)</f>
        <v/>
      </c>
      <c r="K8" s="50">
        <f>ROUND(K7*(Assumptions!C26+(Assumptions!C27-Assumptions!C26)*(10-6)/6)/100,0)</f>
        <v/>
      </c>
      <c r="L8" s="50">
        <f>ROUND(L7*(Assumptions!C26+(Assumptions!C27-Assumptions!C26)*(11-6)/6)/100,0)</f>
        <v/>
      </c>
      <c r="M8" s="50">
        <f>ROUND(M7*(Assumptions!C26+(Assumptions!C27-Assumptions!C26)*(12-6)/6)/100,0)</f>
        <v/>
      </c>
    </row>
    <row r="9">
      <c r="A9" s="51" t="inlineStr">
        <is>
          <t>Cumulative Signups</t>
        </is>
      </c>
      <c r="B9" s="52">
        <f>B3</f>
        <v/>
      </c>
      <c r="C9" s="52">
        <f>B9+C3</f>
        <v/>
      </c>
      <c r="D9" s="52">
        <f>C9+D3</f>
        <v/>
      </c>
      <c r="E9" s="52">
        <f>D9+E3</f>
        <v/>
      </c>
      <c r="F9" s="52">
        <f>E9+F3</f>
        <v/>
      </c>
      <c r="G9" s="52">
        <f>F9+G3</f>
        <v/>
      </c>
      <c r="H9" s="52">
        <f>G9+H3</f>
        <v/>
      </c>
      <c r="I9" s="52">
        <f>H9+I3</f>
        <v/>
      </c>
      <c r="J9" s="52">
        <f>I9+J3</f>
        <v/>
      </c>
      <c r="K9" s="52">
        <f>J9+K3</f>
        <v/>
      </c>
      <c r="L9" s="52">
        <f>K9+L3</f>
        <v/>
      </c>
      <c r="M9" s="52">
        <f>L9+M3</f>
        <v/>
      </c>
    </row>
    <row r="22" ht="30" customHeight="1">
      <c r="A22" s="15" t="inlineStr">
        <is>
          <t>USER GROWTH — PESSIMISTIC (Declining Churn)</t>
        </is>
      </c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</row>
    <row r="23" ht="22" customHeight="1">
      <c r="A23" s="18" t="inlineStr"/>
      <c r="B23" s="18" t="inlineStr">
        <is>
          <t>Mo 1</t>
        </is>
      </c>
      <c r="C23" s="18" t="inlineStr">
        <is>
          <t>Mo 2</t>
        </is>
      </c>
      <c r="D23" s="18" t="inlineStr">
        <is>
          <t>Mo 3</t>
        </is>
      </c>
      <c r="E23" s="18" t="inlineStr">
        <is>
          <t>Mo 4</t>
        </is>
      </c>
      <c r="F23" s="18" t="inlineStr">
        <is>
          <t>Mo 5</t>
        </is>
      </c>
      <c r="G23" s="18" t="inlineStr">
        <is>
          <t>Mo 6</t>
        </is>
      </c>
      <c r="H23" s="18" t="inlineStr">
        <is>
          <t>Mo 7</t>
        </is>
      </c>
      <c r="I23" s="18" t="inlineStr">
        <is>
          <t>Mo 8</t>
        </is>
      </c>
      <c r="J23" s="18" t="inlineStr">
        <is>
          <t>Mo 9</t>
        </is>
      </c>
      <c r="K23" s="18" t="inlineStr">
        <is>
          <t>Mo 10</t>
        </is>
      </c>
      <c r="L23" s="18" t="inlineStr">
        <is>
          <t>Mo 11</t>
        </is>
      </c>
      <c r="M23" s="18" t="inlineStr">
        <is>
          <t>Mo 12</t>
        </is>
      </c>
    </row>
    <row r="24">
      <c r="A24" s="19" t="inlineStr">
        <is>
          <t>New Signups</t>
        </is>
      </c>
      <c r="B24" s="41">
        <f>Assumptions!B36</f>
        <v/>
      </c>
      <c r="C24" s="41">
        <f>ROUND(B24*(1+Assumptions!B37/100),0)</f>
        <v/>
      </c>
      <c r="D24" s="41">
        <f>ROUND(C24*(1+Assumptions!B37/100),0)</f>
        <v/>
      </c>
      <c r="E24" s="41">
        <f>ROUND(D24*(1+Assumptions!B37/100),0)</f>
        <v/>
      </c>
      <c r="F24" s="41">
        <f>ROUND(E24*(1+Assumptions!B37/100),0)</f>
        <v/>
      </c>
      <c r="G24" s="41">
        <f>ROUND(F24*(1+Assumptions!B37/100),0)</f>
        <v/>
      </c>
      <c r="H24" s="41">
        <f>ROUND(G24*(1+Assumptions!B37/100),0)</f>
        <v/>
      </c>
      <c r="I24" s="41">
        <f>ROUND(H24*(1+Assumptions!B37/100),0)</f>
        <v/>
      </c>
      <c r="J24" s="41">
        <f>ROUND(I24*(1+Assumptions!B37/100),0)</f>
        <v/>
      </c>
      <c r="K24" s="41">
        <f>ROUND(J24*(1+Assumptions!B37/100),0)</f>
        <v/>
      </c>
      <c r="L24" s="41">
        <f>ROUND(K24*(1+Assumptions!B37/100),0)</f>
        <v/>
      </c>
      <c r="M24" s="41">
        <f>ROUND(L24*(1+Assumptions!B37/100),0)</f>
        <v/>
      </c>
    </row>
    <row r="25">
      <c r="A25" s="42" t="inlineStr">
        <is>
          <t>New Free Users</t>
        </is>
      </c>
      <c r="B25" s="43">
        <f>ROUND(B24*Assumptions!B38/100,0)</f>
        <v/>
      </c>
      <c r="C25" s="43">
        <f>ROUND(C24*Assumptions!B38/100,0)</f>
        <v/>
      </c>
      <c r="D25" s="43">
        <f>ROUND(D24*Assumptions!B38/100,0)</f>
        <v/>
      </c>
      <c r="E25" s="43">
        <f>ROUND(E24*Assumptions!B38/100,0)</f>
        <v/>
      </c>
      <c r="F25" s="43">
        <f>ROUND(F24*Assumptions!B38/100,0)</f>
        <v/>
      </c>
      <c r="G25" s="43">
        <f>ROUND(G24*Assumptions!B38/100,0)</f>
        <v/>
      </c>
      <c r="H25" s="43">
        <f>ROUND(H24*Assumptions!B38/100,0)</f>
        <v/>
      </c>
      <c r="I25" s="43">
        <f>ROUND(I24*Assumptions!B38/100,0)</f>
        <v/>
      </c>
      <c r="J25" s="43">
        <f>ROUND(J24*Assumptions!B38/100,0)</f>
        <v/>
      </c>
      <c r="K25" s="43">
        <f>ROUND(K24*Assumptions!B38/100,0)</f>
        <v/>
      </c>
      <c r="L25" s="43">
        <f>ROUND(L24*Assumptions!B38/100,0)</f>
        <v/>
      </c>
      <c r="M25" s="43">
        <f>ROUND(M24*Assumptions!B38/100,0)</f>
        <v/>
      </c>
    </row>
    <row r="26">
      <c r="A26" s="44" t="inlineStr">
        <is>
          <t>New Paying (free→paid)</t>
        </is>
      </c>
      <c r="B26" s="45">
        <f>ROUND(B25*Assumptions!B39/100,0)</f>
        <v/>
      </c>
      <c r="C26" s="45">
        <f>ROUND(C25*Assumptions!B39/100,0)</f>
        <v/>
      </c>
      <c r="D26" s="45">
        <f>ROUND(D25*Assumptions!B39/100,0)</f>
        <v/>
      </c>
      <c r="E26" s="45">
        <f>ROUND(E25*Assumptions!B39/100,0)</f>
        <v/>
      </c>
      <c r="F26" s="45">
        <f>ROUND(F25*Assumptions!B39/100,0)</f>
        <v/>
      </c>
      <c r="G26" s="45">
        <f>ROUND(G25*Assumptions!B39/100,0)</f>
        <v/>
      </c>
      <c r="H26" s="45">
        <f>ROUND(H25*Assumptions!B39/100,0)</f>
        <v/>
      </c>
      <c r="I26" s="45">
        <f>ROUND(I25*Assumptions!B39/100,0)</f>
        <v/>
      </c>
      <c r="J26" s="45">
        <f>ROUND(J25*Assumptions!B39/100,0)</f>
        <v/>
      </c>
      <c r="K26" s="45">
        <f>ROUND(K25*Assumptions!B39/100,0)</f>
        <v/>
      </c>
      <c r="L26" s="45">
        <f>ROUND(L25*Assumptions!B39/100,0)</f>
        <v/>
      </c>
      <c r="M26" s="45">
        <f>ROUND(M25*Assumptions!B39/100,0)</f>
        <v/>
      </c>
    </row>
    <row r="27">
      <c r="A27" s="26" t="inlineStr">
        <is>
          <t>Churned (declining)</t>
        </is>
      </c>
      <c r="B27" s="46" t="n">
        <v>0</v>
      </c>
      <c r="C27" s="46">
        <f>ROUND(B28*Assumptions!B40/100,0)</f>
        <v/>
      </c>
      <c r="D27" s="46">
        <f>ROUND(C28*Assumptions!B40/100,0)</f>
        <v/>
      </c>
      <c r="E27" s="46">
        <f>ROUND(D28*Assumptions!B41/100,0)</f>
        <v/>
      </c>
      <c r="F27" s="46">
        <f>ROUND(E28*Assumptions!B41/100,0)</f>
        <v/>
      </c>
      <c r="G27" s="46">
        <f>ROUND(F28*Assumptions!B41/100,0)</f>
        <v/>
      </c>
      <c r="H27" s="46">
        <f>ROUND(G28*Assumptions!B42/100,0)</f>
        <v/>
      </c>
      <c r="I27" s="46">
        <f>ROUND(H28*Assumptions!B42/100,0)</f>
        <v/>
      </c>
      <c r="J27" s="46">
        <f>ROUND(I28*Assumptions!B42/100,0)</f>
        <v/>
      </c>
      <c r="K27" s="46">
        <f>ROUND(J28*Assumptions!B42/100,0)</f>
        <v/>
      </c>
      <c r="L27" s="46">
        <f>ROUND(K28*Assumptions!B42/100,0)</f>
        <v/>
      </c>
      <c r="M27" s="46">
        <f>ROUND(L28*Assumptions!B42/100,0)</f>
        <v/>
      </c>
    </row>
    <row r="28">
      <c r="A28" s="47" t="inlineStr">
        <is>
          <t>TOTAL ACTIVE PAYING</t>
        </is>
      </c>
      <c r="B28" s="48">
        <f>B26</f>
        <v/>
      </c>
      <c r="C28" s="48">
        <f>B28+C26-C27</f>
        <v/>
      </c>
      <c r="D28" s="48">
        <f>C28+D26-D27</f>
        <v/>
      </c>
      <c r="E28" s="48">
        <f>D28+E26-E27</f>
        <v/>
      </c>
      <c r="F28" s="48">
        <f>E28+F26-F27</f>
        <v/>
      </c>
      <c r="G28" s="48">
        <f>F28+G26-G27</f>
        <v/>
      </c>
      <c r="H28" s="48">
        <f>G28+H26-H27</f>
        <v/>
      </c>
      <c r="I28" s="48">
        <f>H28+I26-I27</f>
        <v/>
      </c>
      <c r="J28" s="48">
        <f>I28+J26-J27</f>
        <v/>
      </c>
      <c r="K28" s="48">
        <f>J28+K26-K27</f>
        <v/>
      </c>
      <c r="L28" s="48">
        <f>K28+L26-L27</f>
        <v/>
      </c>
      <c r="M28" s="48">
        <f>L28+M26-M27</f>
        <v/>
      </c>
    </row>
    <row r="29">
      <c r="A29" s="49" t="inlineStr">
        <is>
          <t xml:space="preserve">  ↳ Pro Subscribers</t>
        </is>
      </c>
      <c r="B29" s="50">
        <f>ROUND(B28*Assumptions!B25/100,0)</f>
        <v/>
      </c>
      <c r="C29" s="50">
        <f>ROUND(C28*(Assumptions!B25+(Assumptions!B26-Assumptions!B25)*(2-1)/5)/100,0)</f>
        <v/>
      </c>
      <c r="D29" s="50">
        <f>ROUND(D28*(Assumptions!B25+(Assumptions!B26-Assumptions!B25)*(3-1)/5)/100,0)</f>
        <v/>
      </c>
      <c r="E29" s="50">
        <f>ROUND(E28*(Assumptions!B25+(Assumptions!B26-Assumptions!B25)*(4-1)/5)/100,0)</f>
        <v/>
      </c>
      <c r="F29" s="50">
        <f>ROUND(F28*(Assumptions!B25+(Assumptions!B26-Assumptions!B25)*(5-1)/5)/100,0)</f>
        <v/>
      </c>
      <c r="G29" s="50">
        <f>ROUND(G28*(Assumptions!B25+(Assumptions!B26-Assumptions!B25)*(6-1)/5)/100,0)</f>
        <v/>
      </c>
      <c r="H29" s="50">
        <f>ROUND(H28*(Assumptions!B26+(Assumptions!B27-Assumptions!B26)*(7-6)/6)/100,0)</f>
        <v/>
      </c>
      <c r="I29" s="50">
        <f>ROUND(I28*(Assumptions!B26+(Assumptions!B27-Assumptions!B26)*(8-6)/6)/100,0)</f>
        <v/>
      </c>
      <c r="J29" s="50">
        <f>ROUND(J28*(Assumptions!B26+(Assumptions!B27-Assumptions!B26)*(9-6)/6)/100,0)</f>
        <v/>
      </c>
      <c r="K29" s="50">
        <f>ROUND(K28*(Assumptions!B26+(Assumptions!B27-Assumptions!B26)*(10-6)/6)/100,0)</f>
        <v/>
      </c>
      <c r="L29" s="50">
        <f>ROUND(L28*(Assumptions!B26+(Assumptions!B27-Assumptions!B26)*(11-6)/6)/100,0)</f>
        <v/>
      </c>
      <c r="M29" s="50">
        <f>ROUND(M28*(Assumptions!B26+(Assumptions!B27-Assumptions!B26)*(12-6)/6)/100,0)</f>
        <v/>
      </c>
    </row>
    <row r="30">
      <c r="A30" s="51" t="inlineStr">
        <is>
          <t>Cumulative Signups</t>
        </is>
      </c>
      <c r="B30" s="52">
        <f>B24</f>
        <v/>
      </c>
      <c r="C30" s="52">
        <f>B30+C24</f>
        <v/>
      </c>
      <c r="D30" s="52">
        <f>C30+D24</f>
        <v/>
      </c>
      <c r="E30" s="52">
        <f>D30+E24</f>
        <v/>
      </c>
      <c r="F30" s="52">
        <f>E30+F24</f>
        <v/>
      </c>
      <c r="G30" s="52">
        <f>F30+G24</f>
        <v/>
      </c>
      <c r="H30" s="52">
        <f>G30+H24</f>
        <v/>
      </c>
      <c r="I30" s="52">
        <f>H30+I24</f>
        <v/>
      </c>
      <c r="J30" s="52">
        <f>I30+J24</f>
        <v/>
      </c>
      <c r="K30" s="52">
        <f>J30+K24</f>
        <v/>
      </c>
      <c r="L30" s="52">
        <f>K30+L24</f>
        <v/>
      </c>
      <c r="M30" s="52">
        <f>L30+M24</f>
        <v/>
      </c>
    </row>
  </sheetData>
  <mergeCells count="2">
    <mergeCell ref="A22:M22"/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361EE"/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30" customHeight="1">
      <c r="A1" s="15" t="inlineStr">
        <is>
          <t>P&amp;L — REALISTIC (AUDITED)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</row>
    <row r="2" ht="22" customHeight="1">
      <c r="A2" s="18" t="inlineStr"/>
      <c r="B2" s="18" t="inlineStr">
        <is>
          <t>Mo 1</t>
        </is>
      </c>
      <c r="C2" s="18" t="inlineStr">
        <is>
          <t>Mo 2</t>
        </is>
      </c>
      <c r="D2" s="18" t="inlineStr">
        <is>
          <t>Mo 3</t>
        </is>
      </c>
      <c r="E2" s="18" t="inlineStr">
        <is>
          <t>Mo 4</t>
        </is>
      </c>
      <c r="F2" s="18" t="inlineStr">
        <is>
          <t>Mo 5</t>
        </is>
      </c>
      <c r="G2" s="18" t="inlineStr">
        <is>
          <t>Mo 6</t>
        </is>
      </c>
      <c r="H2" s="18" t="inlineStr">
        <is>
          <t>Mo 7</t>
        </is>
      </c>
      <c r="I2" s="18" t="inlineStr">
        <is>
          <t>Mo 8</t>
        </is>
      </c>
      <c r="J2" s="18" t="inlineStr">
        <is>
          <t>Mo 9</t>
        </is>
      </c>
      <c r="K2" s="18" t="inlineStr">
        <is>
          <t>Mo 10</t>
        </is>
      </c>
      <c r="L2" s="18" t="inlineStr">
        <is>
          <t>Mo 11</t>
        </is>
      </c>
      <c r="M2" s="18" t="inlineStr">
        <is>
          <t>Mo 12</t>
        </is>
      </c>
    </row>
    <row r="3">
      <c r="A3" s="26" t="inlineStr">
        <is>
          <t>4p Setup Fee (Mo 1 only)</t>
        </is>
      </c>
      <c r="B3" s="32">
        <f>Assumptions!B56</f>
        <v/>
      </c>
      <c r="C3" s="53" t="n">
        <v>0</v>
      </c>
      <c r="D3" s="53" t="n">
        <v>0</v>
      </c>
      <c r="E3" s="53" t="n">
        <v>0</v>
      </c>
      <c r="F3" s="53" t="n">
        <v>0</v>
      </c>
      <c r="G3" s="53" t="n">
        <v>0</v>
      </c>
      <c r="H3" s="53" t="n">
        <v>0</v>
      </c>
      <c r="I3" s="53" t="n">
        <v>0</v>
      </c>
      <c r="J3" s="53" t="n">
        <v>0</v>
      </c>
      <c r="K3" s="53" t="n">
        <v>0</v>
      </c>
      <c r="L3" s="53" t="n">
        <v>0</v>
      </c>
      <c r="M3" s="53" t="n">
        <v>0</v>
      </c>
    </row>
    <row r="5" ht="24" customHeight="1">
      <c r="A5" s="3" t="inlineStr">
        <is>
          <t>REVENUE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19" t="inlineStr">
        <is>
          <t>Active Paying Clients</t>
        </is>
      </c>
      <c r="B6" s="41">
        <f>'User Growth'!B22</f>
        <v/>
      </c>
      <c r="C6" s="41">
        <f>'User Growth'!C22</f>
        <v/>
      </c>
      <c r="D6" s="41">
        <f>'User Growth'!D22</f>
        <v/>
      </c>
      <c r="E6" s="41">
        <f>'User Growth'!E22</f>
        <v/>
      </c>
      <c r="F6" s="41">
        <f>'User Growth'!F22</f>
        <v/>
      </c>
      <c r="G6" s="41">
        <f>'User Growth'!G22</f>
        <v/>
      </c>
      <c r="H6" s="41">
        <f>'User Growth'!H22</f>
        <v/>
      </c>
      <c r="I6" s="41">
        <f>'User Growth'!I22</f>
        <v/>
      </c>
      <c r="J6" s="41">
        <f>'User Growth'!J22</f>
        <v/>
      </c>
      <c r="K6" s="41">
        <f>'User Growth'!K22</f>
        <v/>
      </c>
      <c r="L6" s="41">
        <f>'User Growth'!L22</f>
        <v/>
      </c>
      <c r="M6" s="41">
        <f>'User Growth'!M22</f>
        <v/>
      </c>
    </row>
    <row r="7">
      <c r="A7" s="19" t="inlineStr">
        <is>
          <t xml:space="preserve">  PPU Revenue (margin×clients)</t>
        </is>
      </c>
      <c r="B7" s="54">
        <f>B6*Assumptions!C30</f>
        <v/>
      </c>
      <c r="C7" s="54">
        <f>C6*Assumptions!C30</f>
        <v/>
      </c>
      <c r="D7" s="54">
        <f>D6*Assumptions!C30</f>
        <v/>
      </c>
      <c r="E7" s="54">
        <f>E6*Assumptions!C30</f>
        <v/>
      </c>
      <c r="F7" s="54">
        <f>F6*Assumptions!C30</f>
        <v/>
      </c>
      <c r="G7" s="54">
        <f>G6*Assumptions!C30</f>
        <v/>
      </c>
      <c r="H7" s="54">
        <f>H6*Assumptions!C30</f>
        <v/>
      </c>
      <c r="I7" s="54">
        <f>I6*Assumptions!C30</f>
        <v/>
      </c>
      <c r="J7" s="54">
        <f>J6*Assumptions!C30</f>
        <v/>
      </c>
      <c r="K7" s="54">
        <f>K6*Assumptions!C30</f>
        <v/>
      </c>
      <c r="L7" s="54">
        <f>L6*Assumptions!C30</f>
        <v/>
      </c>
      <c r="M7" s="54">
        <f>M6*Assumptions!C30</f>
        <v/>
      </c>
    </row>
    <row r="8">
      <c r="A8" s="49" t="inlineStr">
        <is>
          <t xml:space="preserve">  Pro Subscription Revenue</t>
        </is>
      </c>
      <c r="B8" s="55">
        <f>'User Growth'!B23*Assumptions!C24</f>
        <v/>
      </c>
      <c r="C8" s="55">
        <f>'User Growth'!C23*Assumptions!C24</f>
        <v/>
      </c>
      <c r="D8" s="55">
        <f>'User Growth'!D23*Assumptions!C24</f>
        <v/>
      </c>
      <c r="E8" s="55">
        <f>'User Growth'!E23*Assumptions!C24</f>
        <v/>
      </c>
      <c r="F8" s="55">
        <f>'User Growth'!F23*Assumptions!C24</f>
        <v/>
      </c>
      <c r="G8" s="55">
        <f>'User Growth'!G23*Assumptions!C24</f>
        <v/>
      </c>
      <c r="H8" s="55">
        <f>'User Growth'!H23*Assumptions!C24</f>
        <v/>
      </c>
      <c r="I8" s="55">
        <f>'User Growth'!I23*Assumptions!C24</f>
        <v/>
      </c>
      <c r="J8" s="55">
        <f>'User Growth'!J23*Assumptions!C24</f>
        <v/>
      </c>
      <c r="K8" s="55">
        <f>'User Growth'!K23*Assumptions!C24</f>
        <v/>
      </c>
      <c r="L8" s="55">
        <f>'User Growth'!L23*Assumptions!C24</f>
        <v/>
      </c>
      <c r="M8" s="55">
        <f>'User Growth'!M23*Assumptions!C24</f>
        <v/>
      </c>
    </row>
    <row r="9">
      <c r="A9" s="56" t="inlineStr">
        <is>
          <t>GROSS REVENUE</t>
        </is>
      </c>
      <c r="B9" s="57">
        <f>B7+B8</f>
        <v/>
      </c>
      <c r="C9" s="57">
        <f>C7+C8</f>
        <v/>
      </c>
      <c r="D9" s="57">
        <f>D7+D8</f>
        <v/>
      </c>
      <c r="E9" s="57">
        <f>E7+E8</f>
        <v/>
      </c>
      <c r="F9" s="57">
        <f>F7+F8</f>
        <v/>
      </c>
      <c r="G9" s="57">
        <f>G7+G8</f>
        <v/>
      </c>
      <c r="H9" s="57">
        <f>H7+H8</f>
        <v/>
      </c>
      <c r="I9" s="57">
        <f>I7+I8</f>
        <v/>
      </c>
      <c r="J9" s="57">
        <f>J7+J8</f>
        <v/>
      </c>
      <c r="K9" s="57">
        <f>K7+K8</f>
        <v/>
      </c>
      <c r="L9" s="57">
        <f>L7+L8</f>
        <v/>
      </c>
      <c r="M9" s="57">
        <f>M7+M8</f>
        <v/>
      </c>
    </row>
    <row r="11" ht="24" customHeight="1">
      <c r="A11" s="3" t="inlineStr">
        <is>
          <t>VARIABLE COSTS (4P COGS)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</row>
    <row r="12">
      <c r="A12" s="26" t="inlineStr">
        <is>
          <t>4p COGS (issuance+deposit)</t>
        </is>
      </c>
      <c r="B12" s="58">
        <f>B6*Assumptions!C31</f>
        <v/>
      </c>
      <c r="C12" s="58">
        <f>C6*Assumptions!C31</f>
        <v/>
      </c>
      <c r="D12" s="58">
        <f>D6*Assumptions!C31</f>
        <v/>
      </c>
      <c r="E12" s="58">
        <f>E6*Assumptions!C31</f>
        <v/>
      </c>
      <c r="F12" s="58">
        <f>F6*Assumptions!C31</f>
        <v/>
      </c>
      <c r="G12" s="58">
        <f>G6*Assumptions!C31</f>
        <v/>
      </c>
      <c r="H12" s="58">
        <f>H6*Assumptions!C31</f>
        <v/>
      </c>
      <c r="I12" s="58">
        <f>I6*Assumptions!C31</f>
        <v/>
      </c>
      <c r="J12" s="58">
        <f>J6*Assumptions!C31</f>
        <v/>
      </c>
      <c r="K12" s="58">
        <f>K6*Assumptions!C31</f>
        <v/>
      </c>
      <c r="L12" s="58">
        <f>L6*Assumptions!C31</f>
        <v/>
      </c>
      <c r="M12" s="58">
        <f>M6*Assumptions!C31</f>
        <v/>
      </c>
    </row>
    <row r="14" ht="24" customHeight="1">
      <c r="A14" s="3" t="inlineStr">
        <is>
          <t>FIXED EXPENSES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</row>
    <row r="15">
      <c r="A15" s="59" t="inlineStr">
        <is>
          <t>Hosting</t>
        </is>
      </c>
      <c r="B15" s="58">
        <f>Assumptions!C46</f>
        <v/>
      </c>
      <c r="C15" s="58">
        <f>Assumptions!C46</f>
        <v/>
      </c>
      <c r="D15" s="58">
        <f>Assumptions!C46</f>
        <v/>
      </c>
      <c r="E15" s="58">
        <f>Assumptions!C46</f>
        <v/>
      </c>
      <c r="F15" s="58">
        <f>Assumptions!C46</f>
        <v/>
      </c>
      <c r="G15" s="58">
        <f>Assumptions!C46</f>
        <v/>
      </c>
      <c r="H15" s="58">
        <f>Assumptions!C46</f>
        <v/>
      </c>
      <c r="I15" s="58">
        <f>Assumptions!C46</f>
        <v/>
      </c>
      <c r="J15" s="58">
        <f>Assumptions!C46</f>
        <v/>
      </c>
      <c r="K15" s="58">
        <f>Assumptions!C46</f>
        <v/>
      </c>
      <c r="L15" s="58">
        <f>Assumptions!C46</f>
        <v/>
      </c>
      <c r="M15" s="58">
        <f>Assumptions!C46</f>
        <v/>
      </c>
    </row>
    <row r="16">
      <c r="A16" s="59" t="inlineStr">
        <is>
          <t>4p Platform Fee</t>
        </is>
      </c>
      <c r="B16" s="58">
        <f>Assumptions!C47</f>
        <v/>
      </c>
      <c r="C16" s="58">
        <f>Assumptions!C47</f>
        <v/>
      </c>
      <c r="D16" s="58">
        <f>Assumptions!C47</f>
        <v/>
      </c>
      <c r="E16" s="58">
        <f>Assumptions!C47</f>
        <v/>
      </c>
      <c r="F16" s="58">
        <f>Assumptions!C47</f>
        <v/>
      </c>
      <c r="G16" s="58">
        <f>Assumptions!C47</f>
        <v/>
      </c>
      <c r="H16" s="58">
        <f>Assumptions!C47</f>
        <v/>
      </c>
      <c r="I16" s="58">
        <f>Assumptions!C47</f>
        <v/>
      </c>
      <c r="J16" s="58">
        <f>Assumptions!C47</f>
        <v/>
      </c>
      <c r="K16" s="58">
        <f>Assumptions!C47</f>
        <v/>
      </c>
      <c r="L16" s="58">
        <f>Assumptions!C47</f>
        <v/>
      </c>
      <c r="M16" s="58">
        <f>Assumptions!C47</f>
        <v/>
      </c>
    </row>
    <row r="17">
      <c r="A17" s="59" t="inlineStr">
        <is>
          <t>Domain+Tooling</t>
        </is>
      </c>
      <c r="B17" s="58">
        <f>Assumptions!C48</f>
        <v/>
      </c>
      <c r="C17" s="58">
        <f>Assumptions!C48</f>
        <v/>
      </c>
      <c r="D17" s="58">
        <f>Assumptions!C48</f>
        <v/>
      </c>
      <c r="E17" s="58">
        <f>Assumptions!C48</f>
        <v/>
      </c>
      <c r="F17" s="58">
        <f>Assumptions!C48</f>
        <v/>
      </c>
      <c r="G17" s="58">
        <f>Assumptions!C48</f>
        <v/>
      </c>
      <c r="H17" s="58">
        <f>Assumptions!C48</f>
        <v/>
      </c>
      <c r="I17" s="58">
        <f>Assumptions!C48</f>
        <v/>
      </c>
      <c r="J17" s="58">
        <f>Assumptions!C48</f>
        <v/>
      </c>
      <c r="K17" s="58">
        <f>Assumptions!C48</f>
        <v/>
      </c>
      <c r="L17" s="58">
        <f>Assumptions!C48</f>
        <v/>
      </c>
      <c r="M17" s="58">
        <f>Assumptions!C48</f>
        <v/>
      </c>
    </row>
    <row r="18">
      <c r="A18" s="59" t="inlineStr">
        <is>
          <t>Marketing</t>
        </is>
      </c>
      <c r="B18" s="58">
        <f>Assumptions!C49</f>
        <v/>
      </c>
      <c r="C18" s="58">
        <f>Assumptions!C49</f>
        <v/>
      </c>
      <c r="D18" s="58">
        <f>Assumptions!C49</f>
        <v/>
      </c>
      <c r="E18" s="58">
        <f>Assumptions!C49</f>
        <v/>
      </c>
      <c r="F18" s="58">
        <f>Assumptions!C49</f>
        <v/>
      </c>
      <c r="G18" s="58">
        <f>Assumptions!C49</f>
        <v/>
      </c>
      <c r="H18" s="58">
        <f>Assumptions!C49</f>
        <v/>
      </c>
      <c r="I18" s="58">
        <f>Assumptions!C49</f>
        <v/>
      </c>
      <c r="J18" s="58">
        <f>Assumptions!C49</f>
        <v/>
      </c>
      <c r="K18" s="58">
        <f>Assumptions!C49</f>
        <v/>
      </c>
      <c r="L18" s="58">
        <f>Assumptions!C49</f>
        <v/>
      </c>
      <c r="M18" s="58">
        <f>Assumptions!C49</f>
        <v/>
      </c>
    </row>
    <row r="19">
      <c r="A19" s="59" t="inlineStr">
        <is>
          <t>CTO/Dev</t>
        </is>
      </c>
      <c r="B19" s="58">
        <f>Assumptions!C50</f>
        <v/>
      </c>
      <c r="C19" s="58">
        <f>Assumptions!C50</f>
        <v/>
      </c>
      <c r="D19" s="58">
        <f>Assumptions!C50</f>
        <v/>
      </c>
      <c r="E19" s="58">
        <f>Assumptions!C50</f>
        <v/>
      </c>
      <c r="F19" s="58">
        <f>Assumptions!C50</f>
        <v/>
      </c>
      <c r="G19" s="58">
        <f>Assumptions!C50</f>
        <v/>
      </c>
      <c r="H19" s="58">
        <f>Assumptions!C50</f>
        <v/>
      </c>
      <c r="I19" s="58">
        <f>Assumptions!C50</f>
        <v/>
      </c>
      <c r="J19" s="58">
        <f>Assumptions!C50</f>
        <v/>
      </c>
      <c r="K19" s="58">
        <f>Assumptions!C50</f>
        <v/>
      </c>
      <c r="L19" s="58">
        <f>Assumptions!C50</f>
        <v/>
      </c>
      <c r="M19" s="58">
        <f>Assumptions!C50</f>
        <v/>
      </c>
    </row>
    <row r="20">
      <c r="A20" s="59" t="inlineStr">
        <is>
          <t>Legal</t>
        </is>
      </c>
      <c r="B20" s="58">
        <f>Assumptions!C51</f>
        <v/>
      </c>
      <c r="C20" s="58">
        <f>Assumptions!C51</f>
        <v/>
      </c>
      <c r="D20" s="58">
        <f>Assumptions!C51</f>
        <v/>
      </c>
      <c r="E20" s="58">
        <f>Assumptions!C51</f>
        <v/>
      </c>
      <c r="F20" s="58">
        <f>Assumptions!C51</f>
        <v/>
      </c>
      <c r="G20" s="58">
        <f>Assumptions!C51</f>
        <v/>
      </c>
      <c r="H20" s="58">
        <f>Assumptions!C51</f>
        <v/>
      </c>
      <c r="I20" s="58">
        <f>Assumptions!C51</f>
        <v/>
      </c>
      <c r="J20" s="58">
        <f>Assumptions!C51</f>
        <v/>
      </c>
      <c r="K20" s="58">
        <f>Assumptions!C51</f>
        <v/>
      </c>
      <c r="L20" s="58">
        <f>Assumptions!C51</f>
        <v/>
      </c>
      <c r="M20" s="58">
        <f>Assumptions!C51</f>
        <v/>
      </c>
    </row>
    <row r="21">
      <c r="A21" s="60" t="inlineStr">
        <is>
          <t>XLM Rewards</t>
        </is>
      </c>
      <c r="B21" s="61">
        <f>'XLM Rewards'!B19</f>
        <v/>
      </c>
      <c r="C21" s="61">
        <f>'XLM Rewards'!C19</f>
        <v/>
      </c>
      <c r="D21" s="61">
        <f>'XLM Rewards'!D19</f>
        <v/>
      </c>
      <c r="E21" s="61">
        <f>'XLM Rewards'!E19</f>
        <v/>
      </c>
      <c r="F21" s="61">
        <f>'XLM Rewards'!F19</f>
        <v/>
      </c>
      <c r="G21" s="61">
        <f>'XLM Rewards'!G19</f>
        <v/>
      </c>
      <c r="H21" s="61">
        <f>'XLM Rewards'!H19</f>
        <v/>
      </c>
      <c r="I21" s="61">
        <f>'XLM Rewards'!I19</f>
        <v/>
      </c>
      <c r="J21" s="61">
        <f>'XLM Rewards'!J19</f>
        <v/>
      </c>
      <c r="K21" s="61">
        <f>'XLM Rewards'!K19</f>
        <v/>
      </c>
      <c r="L21" s="61">
        <f>'XLM Rewards'!L19</f>
        <v/>
      </c>
      <c r="M21" s="61">
        <f>'XLM Rewards'!M19</f>
        <v/>
      </c>
    </row>
    <row r="22">
      <c r="A22" s="62" t="inlineStr">
        <is>
          <t>TOTAL EXPENSES</t>
        </is>
      </c>
      <c r="B22" s="63">
        <f>B3+B12+SUM(B15:B21)</f>
        <v/>
      </c>
      <c r="C22" s="63">
        <f>C3+C12+SUM(C15:C21)</f>
        <v/>
      </c>
      <c r="D22" s="63">
        <f>D3+D12+SUM(D15:D21)</f>
        <v/>
      </c>
      <c r="E22" s="63">
        <f>E3+E12+SUM(E15:E21)</f>
        <v/>
      </c>
      <c r="F22" s="63">
        <f>F3+F12+SUM(F15:F21)</f>
        <v/>
      </c>
      <c r="G22" s="63">
        <f>G3+G12+SUM(G15:G21)</f>
        <v/>
      </c>
      <c r="H22" s="63">
        <f>H3+H12+SUM(H15:H21)</f>
        <v/>
      </c>
      <c r="I22" s="63">
        <f>I3+I12+SUM(I15:I21)</f>
        <v/>
      </c>
      <c r="J22" s="63">
        <f>J3+J12+SUM(J15:J21)</f>
        <v/>
      </c>
      <c r="K22" s="63">
        <f>K3+K12+SUM(K15:K21)</f>
        <v/>
      </c>
      <c r="L22" s="63">
        <f>L3+L12+SUM(L15:L21)</f>
        <v/>
      </c>
      <c r="M22" s="63">
        <f>M3+M12+SUM(M15:M21)</f>
        <v/>
      </c>
    </row>
    <row r="24" ht="24" customHeight="1">
      <c r="A24" s="3" t="inlineStr">
        <is>
          <t>NET RESULT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</row>
    <row r="25">
      <c r="A25" s="64" t="inlineStr">
        <is>
          <t>Monthly P/L</t>
        </is>
      </c>
      <c r="B25" s="65">
        <f>B9-B22</f>
        <v/>
      </c>
      <c r="C25" s="65">
        <f>C9-C22</f>
        <v/>
      </c>
      <c r="D25" s="65">
        <f>D9-D22</f>
        <v/>
      </c>
      <c r="E25" s="65">
        <f>E9-E22</f>
        <v/>
      </c>
      <c r="F25" s="65">
        <f>F9-F22</f>
        <v/>
      </c>
      <c r="G25" s="65">
        <f>G9-G22</f>
        <v/>
      </c>
      <c r="H25" s="65">
        <f>H9-H22</f>
        <v/>
      </c>
      <c r="I25" s="65">
        <f>I9-I22</f>
        <v/>
      </c>
      <c r="J25" s="65">
        <f>J9-J22</f>
        <v/>
      </c>
      <c r="K25" s="65">
        <f>K9-K22</f>
        <v/>
      </c>
      <c r="L25" s="65">
        <f>L9-L22</f>
        <v/>
      </c>
      <c r="M25" s="65">
        <f>M9-M22</f>
        <v/>
      </c>
    </row>
    <row r="26">
      <c r="A26" s="66" t="inlineStr">
        <is>
          <t>Cumulative P/L</t>
        </is>
      </c>
      <c r="B26" s="67">
        <f>B25</f>
        <v/>
      </c>
      <c r="C26" s="67">
        <f>B26+C25</f>
        <v/>
      </c>
      <c r="D26" s="67">
        <f>C26+D25</f>
        <v/>
      </c>
      <c r="E26" s="67">
        <f>D26+E25</f>
        <v/>
      </c>
      <c r="F26" s="67">
        <f>E26+F25</f>
        <v/>
      </c>
      <c r="G26" s="67">
        <f>F26+G25</f>
        <v/>
      </c>
      <c r="H26" s="67">
        <f>G26+H25</f>
        <v/>
      </c>
      <c r="I26" s="67">
        <f>H26+I25</f>
        <v/>
      </c>
      <c r="J26" s="67">
        <f>I26+J25</f>
        <v/>
      </c>
      <c r="K26" s="67">
        <f>J26+K25</f>
        <v/>
      </c>
      <c r="L26" s="67">
        <f>K26+L25</f>
        <v/>
      </c>
      <c r="M26" s="67">
        <f>L26+M25</f>
        <v/>
      </c>
    </row>
    <row r="28" ht="24" customHeight="1">
      <c r="A28" s="3" t="inlineStr">
        <is>
          <t>BREAK-EVEN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</row>
    <row r="29">
      <c r="A29" s="19" t="inlineStr">
        <is>
          <t>Fixed Costs/mo</t>
        </is>
      </c>
      <c r="B29" s="54">
        <f>Assumptions!C53</f>
        <v/>
      </c>
    </row>
    <row r="30">
      <c r="A30" s="19" t="inlineStr">
        <is>
          <t>Net Margin/client</t>
        </is>
      </c>
      <c r="B30" s="54">
        <f>Assumptions!C32</f>
        <v/>
      </c>
    </row>
    <row r="31">
      <c r="A31" s="68" t="inlineStr">
        <is>
          <t>Break-Even Clients</t>
        </is>
      </c>
      <c r="B31" s="69">
        <f>CEILING(B29/B30,1)</f>
        <v/>
      </c>
      <c r="C31" s="22" t="inlineStr">
        <is>
          <t>← monthly cash-flow +</t>
        </is>
      </c>
    </row>
    <row r="33">
      <c r="A33" s="31" t="inlineStr">
        <is>
          <t>Max Cash Burn</t>
        </is>
      </c>
      <c r="B33" s="70">
        <f>MIN(B26:M26)</f>
        <v/>
      </c>
    </row>
  </sheetData>
  <mergeCells count="6">
    <mergeCell ref="A14:M14"/>
    <mergeCell ref="A1:M1"/>
    <mergeCell ref="A5:M5"/>
    <mergeCell ref="A24:M24"/>
    <mergeCell ref="A11:M11"/>
    <mergeCell ref="A28:M2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5A623"/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30" customHeight="1">
      <c r="A1" s="15" t="inlineStr">
        <is>
          <t>XLM REWARDS &amp; FREE CARDS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</row>
    <row r="2" ht="30" customHeight="1">
      <c r="A2" s="71" t="inlineStr">
        <is>
          <t>FREE = waived fees. User pays load via USDC. We cover $3.30 per card from grant.</t>
        </is>
      </c>
    </row>
    <row r="4" ht="24" customHeight="1">
      <c r="A4" s="3" t="inlineStr">
        <is>
          <t>PARAMETERS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</row>
    <row r="5" ht="22" customHeight="1">
      <c r="A5" s="18" t="inlineStr">
        <is>
          <t>Parameter</t>
        </is>
      </c>
      <c r="B5" s="18" t="inlineStr">
        <is>
          <t>Value</t>
        </is>
      </c>
      <c r="C5" s="18" t="inlineStr"/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8" t="inlineStr"/>
      <c r="L5" s="18" t="inlineStr"/>
      <c r="M5" s="18" t="inlineStr">
        <is>
          <t>Notes</t>
        </is>
      </c>
    </row>
    <row r="6">
      <c r="A6" s="19" t="inlineStr">
        <is>
          <t>Free Cards Budget (count)</t>
        </is>
      </c>
      <c r="B6" s="20" t="n">
        <v>500</v>
      </c>
      <c r="M6" s="22" t="inlineStr">
        <is>
          <t>First 500 users</t>
        </is>
      </c>
    </row>
    <row r="7">
      <c r="A7" s="19" t="inlineStr">
        <is>
          <t>Our Cost per Free Card ($)</t>
        </is>
      </c>
      <c r="B7" s="20" t="n">
        <v>3.3</v>
      </c>
      <c r="M7" s="22" t="inlineStr">
        <is>
          <t>$3 issuance + 3%×$10 deposit (FEES ONLY)</t>
        </is>
      </c>
    </row>
    <row r="8">
      <c r="A8" s="19" t="inlineStr">
        <is>
          <t>XLM Signup Bonus (XLM)</t>
        </is>
      </c>
      <c r="B8" s="20" t="n">
        <v>10</v>
      </c>
      <c r="M8" s="22" t="inlineStr">
        <is>
          <t>≈$1 at current price</t>
        </is>
      </c>
    </row>
    <row r="9">
      <c r="A9" s="19" t="inlineStr">
        <is>
          <t>XLM Spend Reward (%)</t>
        </is>
      </c>
      <c r="B9" s="20" t="n">
        <v>5</v>
      </c>
      <c r="M9" s="22" t="inlineStr">
        <is>
          <t>5% cashback in XLM</t>
        </is>
      </c>
    </row>
    <row r="10">
      <c r="A10" s="19" t="inlineStr">
        <is>
          <t>Avg Monthly Spend ($)</t>
        </is>
      </c>
      <c r="B10" s="20" t="n">
        <v>30</v>
      </c>
      <c r="M10" s="22" t="inlineStr">
        <is>
          <t>Agent card spend</t>
        </is>
      </c>
    </row>
    <row r="11">
      <c r="A11" s="19" t="inlineStr">
        <is>
          <t>XLM Price (USD)</t>
        </is>
      </c>
      <c r="B11" s="20" t="n">
        <v>0.1</v>
      </c>
      <c r="M11" s="22" t="inlineStr">
        <is>
          <t>Current market</t>
        </is>
      </c>
    </row>
    <row r="12">
      <c r="A12" s="19" t="inlineStr">
        <is>
          <t>Grant Budget for Rewards ($)</t>
        </is>
      </c>
      <c r="B12" s="20" t="n">
        <v>5000</v>
      </c>
      <c r="M12" s="22" t="inlineStr">
        <is>
          <t>Portion of SCF grant</t>
        </is>
      </c>
    </row>
    <row r="14" ht="24" customHeight="1">
      <c r="A14" s="3" t="inlineStr">
        <is>
          <t>MONTHLY COSTS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</row>
    <row r="15" ht="22" customHeight="1">
      <c r="A15" s="18" t="inlineStr"/>
      <c r="B15" s="18" t="inlineStr">
        <is>
          <t>Mo 1</t>
        </is>
      </c>
      <c r="C15" s="18" t="inlineStr">
        <is>
          <t>Mo 2</t>
        </is>
      </c>
      <c r="D15" s="18" t="inlineStr">
        <is>
          <t>Mo 3</t>
        </is>
      </c>
      <c r="E15" s="18" t="inlineStr">
        <is>
          <t>Mo 4</t>
        </is>
      </c>
      <c r="F15" s="18" t="inlineStr">
        <is>
          <t>Mo 5</t>
        </is>
      </c>
      <c r="G15" s="18" t="inlineStr">
        <is>
          <t>Mo 6</t>
        </is>
      </c>
      <c r="H15" s="18" t="inlineStr">
        <is>
          <t>Mo 7</t>
        </is>
      </c>
      <c r="I15" s="18" t="inlineStr">
        <is>
          <t>Mo 8</t>
        </is>
      </c>
      <c r="J15" s="18" t="inlineStr">
        <is>
          <t>Mo 9</t>
        </is>
      </c>
      <c r="K15" s="18" t="inlineStr">
        <is>
          <t>Mo 10</t>
        </is>
      </c>
      <c r="L15" s="18" t="inlineStr">
        <is>
          <t>Mo 11</t>
        </is>
      </c>
      <c r="M15" s="18" t="inlineStr">
        <is>
          <t>Mo 12</t>
        </is>
      </c>
    </row>
    <row r="16">
      <c r="A16" s="60" t="inlineStr">
        <is>
          <t>Free Cards Issued</t>
        </is>
      </c>
      <c r="B16" s="72">
        <f>MIN('User Growth'!B3,B6)</f>
        <v/>
      </c>
      <c r="C16" s="72">
        <f>MIN('User Growth'!C3,MAX(B6-SUM(B16:B16),0))</f>
        <v/>
      </c>
      <c r="D16" s="72">
        <f>MIN('User Growth'!D3,MAX(B6-SUM(B16:C16),0))</f>
        <v/>
      </c>
      <c r="E16" s="72">
        <f>MIN('User Growth'!E3,MAX(B6-SUM(B16:D16),0))</f>
        <v/>
      </c>
      <c r="F16" s="72">
        <f>MIN('User Growth'!F3,MAX(B6-SUM(B16:E16),0))</f>
        <v/>
      </c>
      <c r="G16" s="72">
        <f>MIN('User Growth'!G3,MAX(B6-SUM(B16:F16),0))</f>
        <v/>
      </c>
      <c r="H16" s="72">
        <f>MIN('User Growth'!H3,MAX(B6-SUM(B16:G16),0))</f>
        <v/>
      </c>
      <c r="I16" s="72">
        <f>MIN('User Growth'!I3,MAX(B6-SUM(B16:H16),0))</f>
        <v/>
      </c>
      <c r="J16" s="72">
        <f>MIN('User Growth'!J3,MAX(B6-SUM(B16:I16),0))</f>
        <v/>
      </c>
      <c r="K16" s="72">
        <f>MIN('User Growth'!K3,MAX(B6-SUM(B16:J16),0))</f>
        <v/>
      </c>
      <c r="L16" s="72">
        <f>MIN('User Growth'!L3,MAX(B6-SUM(B16:K16),0))</f>
        <v/>
      </c>
      <c r="M16" s="72">
        <f>MIN('User Growth'!M3,MAX(B6-SUM(B16:L16),0))</f>
        <v/>
      </c>
    </row>
    <row r="17">
      <c r="A17" s="26" t="inlineStr">
        <is>
          <t>Free Card Cost ($)</t>
        </is>
      </c>
      <c r="B17" s="58">
        <f>B16*B7</f>
        <v/>
      </c>
      <c r="C17" s="58">
        <f>C16*B7</f>
        <v/>
      </c>
      <c r="D17" s="58">
        <f>D16*B7</f>
        <v/>
      </c>
      <c r="E17" s="58">
        <f>E16*B7</f>
        <v/>
      </c>
      <c r="F17" s="58">
        <f>F16*B7</f>
        <v/>
      </c>
      <c r="G17" s="58">
        <f>G16*B7</f>
        <v/>
      </c>
      <c r="H17" s="58">
        <f>H16*B7</f>
        <v/>
      </c>
      <c r="I17" s="58">
        <f>I16*B7</f>
        <v/>
      </c>
      <c r="J17" s="58">
        <f>J16*B7</f>
        <v/>
      </c>
      <c r="K17" s="58">
        <f>K16*B7</f>
        <v/>
      </c>
      <c r="L17" s="58">
        <f>L16*B7</f>
        <v/>
      </c>
      <c r="M17" s="58">
        <f>M16*B7</f>
        <v/>
      </c>
    </row>
    <row r="18">
      <c r="A18" s="26" t="inlineStr">
        <is>
          <t>Signup Bonuses ($)</t>
        </is>
      </c>
      <c r="B18" s="58">
        <f>B16*B8*B11</f>
        <v/>
      </c>
      <c r="C18" s="58">
        <f>C16*B8*B11</f>
        <v/>
      </c>
      <c r="D18" s="58">
        <f>D16*B8*B11</f>
        <v/>
      </c>
      <c r="E18" s="58">
        <f>E16*B8*B11</f>
        <v/>
      </c>
      <c r="F18" s="58">
        <f>F16*B8*B11</f>
        <v/>
      </c>
      <c r="G18" s="58">
        <f>G16*B8*B11</f>
        <v/>
      </c>
      <c r="H18" s="58">
        <f>H16*B8*B11</f>
        <v/>
      </c>
      <c r="I18" s="58">
        <f>I16*B8*B11</f>
        <v/>
      </c>
      <c r="J18" s="58">
        <f>J16*B8*B11</f>
        <v/>
      </c>
      <c r="K18" s="58">
        <f>K16*B8*B11</f>
        <v/>
      </c>
      <c r="L18" s="58">
        <f>L16*B8*B11</f>
        <v/>
      </c>
      <c r="M18" s="58">
        <f>M16*B8*B11</f>
        <v/>
      </c>
    </row>
    <row r="19">
      <c r="A19" s="26" t="inlineStr">
        <is>
          <t>Spend Cashback ($)</t>
        </is>
      </c>
      <c r="B19" s="58">
        <f>'User Growth'!B6*B10*(B9/100)*B11</f>
        <v/>
      </c>
      <c r="C19" s="58">
        <f>'User Growth'!C6*B10*(B9/100)*B11</f>
        <v/>
      </c>
      <c r="D19" s="58">
        <f>'User Growth'!D6*B10*(B9/100)*B11</f>
        <v/>
      </c>
      <c r="E19" s="58">
        <f>'User Growth'!E6*B10*(B9/100)*B11</f>
        <v/>
      </c>
      <c r="F19" s="58">
        <f>'User Growth'!F6*B10*(B9/100)*B11</f>
        <v/>
      </c>
      <c r="G19" s="58">
        <f>'User Growth'!G6*B10*(B9/100)*B11</f>
        <v/>
      </c>
      <c r="H19" s="58">
        <f>'User Growth'!H6*B10*(B9/100)*B11</f>
        <v/>
      </c>
      <c r="I19" s="58">
        <f>'User Growth'!I6*B10*(B9/100)*B11</f>
        <v/>
      </c>
      <c r="J19" s="58">
        <f>'User Growth'!J6*B10*(B9/100)*B11</f>
        <v/>
      </c>
      <c r="K19" s="58">
        <f>'User Growth'!K6*B10*(B9/100)*B11</f>
        <v/>
      </c>
      <c r="L19" s="58">
        <f>'User Growth'!L6*B10*(B9/100)*B11</f>
        <v/>
      </c>
      <c r="M19" s="58">
        <f>'User Growth'!M6*B10*(B9/100)*B11</f>
        <v/>
      </c>
    </row>
    <row r="20">
      <c r="A20" s="62" t="inlineStr">
        <is>
          <t>TOTAL REWARD COST</t>
        </is>
      </c>
      <c r="B20" s="63">
        <f>B17+B18+B19</f>
        <v/>
      </c>
      <c r="C20" s="63">
        <f>C17+C18+C19</f>
        <v/>
      </c>
      <c r="D20" s="63">
        <f>D17+D18+D19</f>
        <v/>
      </c>
      <c r="E20" s="63">
        <f>E17+E18+E19</f>
        <v/>
      </c>
      <c r="F20" s="63">
        <f>F17+F18+F19</f>
        <v/>
      </c>
      <c r="G20" s="63">
        <f>G17+G18+G19</f>
        <v/>
      </c>
      <c r="H20" s="63">
        <f>H17+H18+H19</f>
        <v/>
      </c>
      <c r="I20" s="63">
        <f>I17+I18+I19</f>
        <v/>
      </c>
      <c r="J20" s="63">
        <f>J17+J18+J19</f>
        <v/>
      </c>
      <c r="K20" s="63">
        <f>K17+K18+K19</f>
        <v/>
      </c>
      <c r="L20" s="63">
        <f>L17+L18+L19</f>
        <v/>
      </c>
      <c r="M20" s="63">
        <f>M17+M18+M19</f>
        <v/>
      </c>
    </row>
    <row r="22" ht="24" customHeight="1">
      <c r="A22" s="3" t="inlineStr">
        <is>
          <t>BUDGET TRACKING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</row>
    <row r="23">
      <c r="A23" s="73" t="inlineStr">
        <is>
          <t>Cumulative Spend</t>
        </is>
      </c>
      <c r="B23" s="74">
        <f>B20</f>
        <v/>
      </c>
      <c r="C23" s="74">
        <f>B23+C20</f>
        <v/>
      </c>
      <c r="D23" s="74">
        <f>C23+D20</f>
        <v/>
      </c>
      <c r="E23" s="74">
        <f>D23+E20</f>
        <v/>
      </c>
      <c r="F23" s="74">
        <f>E23+F20</f>
        <v/>
      </c>
      <c r="G23" s="74">
        <f>F23+G20</f>
        <v/>
      </c>
      <c r="H23" s="74">
        <f>G23+H20</f>
        <v/>
      </c>
      <c r="I23" s="74">
        <f>H23+I20</f>
        <v/>
      </c>
      <c r="J23" s="74">
        <f>I23+J20</f>
        <v/>
      </c>
      <c r="K23" s="74">
        <f>J23+K20</f>
        <v/>
      </c>
      <c r="L23" s="74">
        <f>K23+L20</f>
        <v/>
      </c>
      <c r="M23" s="74">
        <f>L23+M20</f>
        <v/>
      </c>
    </row>
    <row r="24">
      <c r="A24" s="75" t="inlineStr">
        <is>
          <t>Grant Budget Remaining</t>
        </is>
      </c>
      <c r="B24" s="76">
        <f>B12-B23</f>
        <v/>
      </c>
      <c r="C24" s="76">
        <f>B12-C23</f>
        <v/>
      </c>
      <c r="D24" s="76">
        <f>B12-D23</f>
        <v/>
      </c>
      <c r="E24" s="76">
        <f>B12-E23</f>
        <v/>
      </c>
      <c r="F24" s="76">
        <f>B12-F23</f>
        <v/>
      </c>
      <c r="G24" s="76">
        <f>B12-G23</f>
        <v/>
      </c>
      <c r="H24" s="76">
        <f>B12-H23</f>
        <v/>
      </c>
      <c r="I24" s="76">
        <f>B12-I23</f>
        <v/>
      </c>
      <c r="J24" s="76">
        <f>B12-J23</f>
        <v/>
      </c>
      <c r="K24" s="76">
        <f>B12-K23</f>
        <v/>
      </c>
      <c r="L24" s="76">
        <f>B12-L23</f>
        <v/>
      </c>
      <c r="M24" s="76">
        <f>B12-M23</f>
        <v/>
      </c>
    </row>
    <row r="26" ht="24" customHeight="1">
      <c r="A26" s="3" t="inlineStr">
        <is>
          <t>XLM REWARDS STRATEGY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</row>
    <row r="27" ht="28" customHeight="1">
      <c r="A27" s="42" t="inlineStr">
        <is>
          <t>1. Free Card Issuance</t>
        </is>
      </c>
      <c r="B27" s="5" t="inlineStr">
        <is>
          <t>First 500 users get free $10 card — waived fees ($3.30 from grant). Zero friction.</t>
        </is>
      </c>
    </row>
    <row r="28" ht="28" customHeight="1">
      <c r="A28" s="42" t="inlineStr">
        <is>
          <t>2. XLM Signup Bonus</t>
        </is>
      </c>
      <c r="B28" s="5" t="inlineStr">
        <is>
          <t>10 XLM airdrop on first card — teaches agents to hold XLM in Stellar wallet.</t>
        </is>
      </c>
    </row>
    <row r="29" ht="28" customHeight="1">
      <c r="A29" s="42" t="inlineStr">
        <is>
          <t>3. Spend Cashback in XLM</t>
        </is>
      </c>
      <c r="B29" s="5" t="inlineStr">
        <is>
          <t>5% of card spend returned as XLM — drives recurring usage + grows Stellar TVL.</t>
        </is>
      </c>
    </row>
    <row r="30" ht="28" customHeight="1">
      <c r="A30" s="42" t="inlineStr">
        <is>
          <t>4. Stellar Wallet Onboarding</t>
        </is>
      </c>
      <c r="B30" s="5" t="inlineStr">
        <is>
          <t>SDK auto-creates Stellar wallet for each agent — instant ecosystem growth.</t>
        </is>
      </c>
    </row>
    <row r="31" ht="28" customHeight="1">
      <c r="A31" s="42" t="inlineStr">
        <is>
          <t>5. XLM → Repeat Purchase</t>
        </is>
      </c>
      <c r="B31" s="5" t="inlineStr">
        <is>
          <t>Agent earns XLM → uses XLM for next card → self-sustaining flywheel.</t>
        </is>
      </c>
    </row>
    <row r="32" ht="28" customHeight="1">
      <c r="A32" s="42" t="inlineStr">
        <is>
          <t>6. Referral in XLM</t>
        </is>
      </c>
      <c r="B32" s="5" t="inlineStr">
        <is>
          <t>20 XLM per referred user who creates first card — viral loop.</t>
        </is>
      </c>
    </row>
    <row r="33" ht="28" customHeight="1">
      <c r="A33" s="42" t="inlineStr">
        <is>
          <t>7. SCF Grant Alignment</t>
        </is>
      </c>
      <c r="B33" s="5" t="inlineStr">
        <is>
          <t>All costs funded by SCF grant — proves Stellar ecosystem growth to SDF.</t>
        </is>
      </c>
    </row>
    <row r="35" ht="24" customHeight="1">
      <c r="A35" s="3" t="inlineStr">
        <is>
          <t>SCF GRANT ROI (for reviewers)</t>
        </is>
      </c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</row>
    <row r="36">
      <c r="A36" s="77" t="inlineStr">
        <is>
          <t>→ Every free card = new Stellar wallet + USDC settlement on-chain</t>
        </is>
      </c>
    </row>
    <row r="37">
      <c r="A37" s="77" t="inlineStr">
        <is>
          <t>→ XLM rewards create active wallet holders — direct SDF ecosystem metric</t>
        </is>
      </c>
    </row>
    <row r="38">
      <c r="A38" s="77" t="inlineStr">
        <is>
          <t>→ Measurable: cards issued, wallets created, USDC volume, XLM distributed</t>
        </is>
      </c>
    </row>
    <row r="39">
      <c r="A39" s="77" t="inlineStr">
        <is>
          <t>→ Grant ROI: $5,000 → 500 wallets + $15K+ USDC settled on Stellar</t>
        </is>
      </c>
    </row>
    <row r="40">
      <c r="A40" s="77" t="inlineStr">
        <is>
          <t>→ Post-grant self-sustaining: paid users fund ongoing rewards</t>
        </is>
      </c>
    </row>
  </sheetData>
  <mergeCells count="26">
    <mergeCell ref="A14:M14"/>
    <mergeCell ref="M8"/>
    <mergeCell ref="A22:M22"/>
    <mergeCell ref="A35:M35"/>
    <mergeCell ref="A4:M4"/>
    <mergeCell ref="A38:M38"/>
    <mergeCell ref="B29:M29"/>
    <mergeCell ref="B28:M28"/>
    <mergeCell ref="A40:M40"/>
    <mergeCell ref="A39:M39"/>
    <mergeCell ref="B30:M30"/>
    <mergeCell ref="M9"/>
    <mergeCell ref="A36:M36"/>
    <mergeCell ref="B33:M33"/>
    <mergeCell ref="A1:M1"/>
    <mergeCell ref="M11"/>
    <mergeCell ref="B32:M32"/>
    <mergeCell ref="M10"/>
    <mergeCell ref="A37:M37"/>
    <mergeCell ref="M7"/>
    <mergeCell ref="B31:M31"/>
    <mergeCell ref="M6"/>
    <mergeCell ref="M12"/>
    <mergeCell ref="A26:M26"/>
    <mergeCell ref="B27:M27"/>
    <mergeCell ref="A2:M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D166"/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0" customHeight="1">
      <c r="A1" s="15" t="inlineStr">
        <is>
          <t>SENSITIVITY ANALYSIS</t>
        </is>
      </c>
      <c r="B1" s="16" t="n"/>
      <c r="C1" s="16" t="n"/>
      <c r="D1" s="16" t="n"/>
      <c r="E1" s="16" t="n"/>
      <c r="F1" s="16" t="n"/>
      <c r="G1" s="16" t="n"/>
      <c r="H1" s="16" t="n"/>
    </row>
    <row r="3" ht="24" customHeight="1">
      <c r="A3" s="3" t="inlineStr">
        <is>
          <t>BREAK-EVEN = Fixed Costs ÷ Net Margin/Client</t>
        </is>
      </c>
      <c r="B3" s="4" t="n"/>
      <c r="C3" s="4" t="n"/>
      <c r="D3" s="4" t="n"/>
      <c r="E3" s="4" t="n"/>
      <c r="F3" s="4" t="n"/>
      <c r="G3" s="4" t="n"/>
      <c r="H3" s="4" t="n"/>
    </row>
    <row r="4" ht="22" customHeight="1">
      <c r="A4" s="18" t="inlineStr">
        <is>
          <t>Cost \ Margin</t>
        </is>
      </c>
      <c r="B4" s="18" t="inlineStr">
        <is>
          <t>$4/mo</t>
        </is>
      </c>
      <c r="C4" s="18" t="inlineStr">
        <is>
          <t>$6/mo</t>
        </is>
      </c>
      <c r="D4" s="18" t="inlineStr">
        <is>
          <t>$8/mo</t>
        </is>
      </c>
      <c r="E4" s="18" t="inlineStr">
        <is>
          <t>$10/mo</t>
        </is>
      </c>
      <c r="F4" s="18" t="inlineStr">
        <is>
          <t>$12/mo</t>
        </is>
      </c>
      <c r="G4" s="18" t="inlineStr">
        <is>
          <t>$15/mo</t>
        </is>
      </c>
      <c r="H4" s="18" t="inlineStr">
        <is>
          <t>$20/mo</t>
        </is>
      </c>
    </row>
    <row r="5">
      <c r="A5" s="19" t="inlineStr">
        <is>
          <t>$200/mo</t>
        </is>
      </c>
      <c r="B5" s="78" t="n">
        <v>50</v>
      </c>
      <c r="C5" s="78" t="n">
        <v>33</v>
      </c>
      <c r="D5" s="78" t="n">
        <v>25</v>
      </c>
      <c r="E5" s="78" t="n">
        <v>20</v>
      </c>
      <c r="F5" s="78" t="n">
        <v>17</v>
      </c>
      <c r="G5" s="78" t="n">
        <v>13</v>
      </c>
      <c r="H5" s="78" t="n">
        <v>10</v>
      </c>
    </row>
    <row r="6">
      <c r="A6" s="19" t="inlineStr">
        <is>
          <t>$400/mo</t>
        </is>
      </c>
      <c r="B6" s="79" t="n">
        <v>100</v>
      </c>
      <c r="C6" s="79" t="n">
        <v>67</v>
      </c>
      <c r="D6" s="78" t="n">
        <v>50</v>
      </c>
      <c r="E6" s="78" t="n">
        <v>40</v>
      </c>
      <c r="F6" s="78" t="n">
        <v>33</v>
      </c>
      <c r="G6" s="78" t="n">
        <v>27</v>
      </c>
      <c r="H6" s="78" t="n">
        <v>20</v>
      </c>
    </row>
    <row r="7">
      <c r="A7" s="19" t="inlineStr">
        <is>
          <t>$600/mo</t>
        </is>
      </c>
      <c r="B7" s="79" t="n">
        <v>150</v>
      </c>
      <c r="C7" s="79" t="n">
        <v>100</v>
      </c>
      <c r="D7" s="79" t="n">
        <v>75</v>
      </c>
      <c r="E7" s="79" t="n">
        <v>60</v>
      </c>
      <c r="F7" s="78" t="n">
        <v>50</v>
      </c>
      <c r="G7" s="78" t="n">
        <v>40</v>
      </c>
      <c r="H7" s="78" t="n">
        <v>30</v>
      </c>
    </row>
    <row r="8">
      <c r="A8" s="19" t="inlineStr">
        <is>
          <t>$800/mo</t>
        </is>
      </c>
      <c r="B8" s="80" t="n">
        <v>200</v>
      </c>
      <c r="C8" s="79" t="n">
        <v>133</v>
      </c>
      <c r="D8" s="79" t="n">
        <v>100</v>
      </c>
      <c r="E8" s="79" t="n">
        <v>80</v>
      </c>
      <c r="F8" s="79" t="n">
        <v>67</v>
      </c>
      <c r="G8" s="79" t="n">
        <v>53</v>
      </c>
      <c r="H8" s="78" t="n">
        <v>40</v>
      </c>
    </row>
    <row r="9">
      <c r="A9" s="19" t="inlineStr">
        <is>
          <t>$1000/mo</t>
        </is>
      </c>
      <c r="B9" s="80" t="n">
        <v>250</v>
      </c>
      <c r="C9" s="80" t="n">
        <v>167</v>
      </c>
      <c r="D9" s="79" t="n">
        <v>125</v>
      </c>
      <c r="E9" s="79" t="n">
        <v>100</v>
      </c>
      <c r="F9" s="79" t="n">
        <v>83</v>
      </c>
      <c r="G9" s="79" t="n">
        <v>67</v>
      </c>
      <c r="H9" s="78" t="n">
        <v>50</v>
      </c>
    </row>
    <row r="10">
      <c r="A10" s="19" t="inlineStr">
        <is>
          <t>$1500/mo</t>
        </is>
      </c>
      <c r="B10" s="80" t="n">
        <v>375</v>
      </c>
      <c r="C10" s="80" t="n">
        <v>250</v>
      </c>
      <c r="D10" s="80" t="n">
        <v>188</v>
      </c>
      <c r="E10" s="79" t="n">
        <v>150</v>
      </c>
      <c r="F10" s="79" t="n">
        <v>125</v>
      </c>
      <c r="G10" s="79" t="n">
        <v>100</v>
      </c>
      <c r="H10" s="79" t="n">
        <v>75</v>
      </c>
    </row>
    <row r="11">
      <c r="A11" s="19" t="inlineStr">
        <is>
          <t>$2000/mo</t>
        </is>
      </c>
      <c r="B11" s="80" t="n">
        <v>500</v>
      </c>
      <c r="C11" s="80" t="n">
        <v>333</v>
      </c>
      <c r="D11" s="80" t="n">
        <v>250</v>
      </c>
      <c r="E11" s="80" t="n">
        <v>200</v>
      </c>
      <c r="F11" s="80" t="n">
        <v>167</v>
      </c>
      <c r="G11" s="79" t="n">
        <v>133</v>
      </c>
      <c r="H11" s="79" t="n">
        <v>100</v>
      </c>
    </row>
    <row r="12">
      <c r="A12" s="19" t="inlineStr">
        <is>
          <t>$3000/mo</t>
        </is>
      </c>
      <c r="B12" s="80" t="n">
        <v>750</v>
      </c>
      <c r="C12" s="80" t="n">
        <v>500</v>
      </c>
      <c r="D12" s="80" t="n">
        <v>375</v>
      </c>
      <c r="E12" s="80" t="n">
        <v>300</v>
      </c>
      <c r="F12" s="80" t="n">
        <v>250</v>
      </c>
      <c r="G12" s="80" t="n">
        <v>200</v>
      </c>
      <c r="H12" s="79" t="n">
        <v>150</v>
      </c>
    </row>
  </sheetData>
  <mergeCells count="2">
    <mergeCell ref="A3:H3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F476F"/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0" customHeight="1">
      <c r="A1" s="15" t="inlineStr">
        <is>
          <t>WEEKLY KPI TRACKER</t>
        </is>
      </c>
      <c r="B1" s="16" t="n"/>
      <c r="C1" s="16" t="n"/>
      <c r="D1" s="16" t="n"/>
      <c r="E1" s="16" t="n"/>
      <c r="F1" s="16" t="n"/>
      <c r="G1" s="16" t="n"/>
      <c r="H1" s="16" t="n"/>
    </row>
    <row r="3" ht="24" customHeight="1">
      <c r="A3" s="3" t="inlineStr">
        <is>
          <t>METRICS</t>
        </is>
      </c>
      <c r="B3" s="4" t="n"/>
      <c r="C3" s="4" t="n"/>
      <c r="D3" s="4" t="n"/>
      <c r="E3" s="4" t="n"/>
      <c r="F3" s="4" t="n"/>
      <c r="G3" s="4" t="n"/>
      <c r="H3" s="4" t="n"/>
    </row>
    <row r="4" ht="22" customHeight="1">
      <c r="A4" s="18" t="inlineStr">
        <is>
          <t>Metric</t>
        </is>
      </c>
      <c r="B4" s="18" t="inlineStr">
        <is>
          <t>✅ Target</t>
        </is>
      </c>
      <c r="C4" s="18" t="inlineStr">
        <is>
          <t>⚠️ Warning</t>
        </is>
      </c>
      <c r="D4" s="18" t="inlineStr">
        <is>
          <t>🚩 Critical</t>
        </is>
      </c>
      <c r="E4" s="18" t="inlineStr">
        <is>
          <t>Wk1</t>
        </is>
      </c>
      <c r="F4" s="18" t="inlineStr">
        <is>
          <t>Wk2</t>
        </is>
      </c>
      <c r="G4" s="18" t="inlineStr">
        <is>
          <t>Wk3</t>
        </is>
      </c>
      <c r="H4" s="18" t="inlineStr">
        <is>
          <t>Wk4</t>
        </is>
      </c>
    </row>
    <row r="5">
      <c r="A5" s="19" t="inlineStr">
        <is>
          <t>New Signups/wk</t>
        </is>
      </c>
      <c r="B5" s="81" t="inlineStr">
        <is>
          <t>&gt;10</t>
        </is>
      </c>
      <c r="C5" s="82" t="inlineStr">
        <is>
          <t>3–10</t>
        </is>
      </c>
      <c r="D5" s="83" t="inlineStr">
        <is>
          <t>&lt;3</t>
        </is>
      </c>
      <c r="E5" s="29" t="n"/>
      <c r="F5" s="29" t="n"/>
      <c r="G5" s="29" t="n"/>
      <c r="H5" s="29" t="n"/>
    </row>
    <row r="6">
      <c r="A6" s="19" t="inlineStr">
        <is>
          <t>Free→Paid %</t>
        </is>
      </c>
      <c r="B6" s="81" t="inlineStr">
        <is>
          <t>&gt;20%</t>
        </is>
      </c>
      <c r="C6" s="82" t="inlineStr">
        <is>
          <t>10–20%</t>
        </is>
      </c>
      <c r="D6" s="83" t="inlineStr">
        <is>
          <t>&lt;10%</t>
        </is>
      </c>
      <c r="E6" s="29" t="n"/>
      <c r="F6" s="29" t="n"/>
      <c r="G6" s="29" t="n"/>
      <c r="H6" s="29" t="n"/>
    </row>
    <row r="7">
      <c r="A7" s="19" t="inlineStr">
        <is>
          <t>Txns/wk</t>
        </is>
      </c>
      <c r="B7" s="81" t="inlineStr">
        <is>
          <t>&gt;30</t>
        </is>
      </c>
      <c r="C7" s="82" t="inlineStr">
        <is>
          <t>10–30</t>
        </is>
      </c>
      <c r="D7" s="83" t="inlineStr">
        <is>
          <t>&lt;10</t>
        </is>
      </c>
      <c r="E7" s="29" t="n"/>
      <c r="F7" s="29" t="n"/>
      <c r="G7" s="29" t="n"/>
      <c r="H7" s="29" t="n"/>
    </row>
    <row r="8">
      <c r="A8" s="19" t="inlineStr">
        <is>
          <t>Weekly Rev</t>
        </is>
      </c>
      <c r="B8" s="81" t="inlineStr">
        <is>
          <t>&gt;$200</t>
        </is>
      </c>
      <c r="C8" s="82" t="inlineStr">
        <is>
          <t>$50–200</t>
        </is>
      </c>
      <c r="D8" s="83" t="inlineStr">
        <is>
          <t>&lt;$50</t>
        </is>
      </c>
      <c r="E8" s="29" t="n"/>
      <c r="F8" s="29" t="n"/>
      <c r="G8" s="29" t="n"/>
      <c r="H8" s="29" t="n"/>
    </row>
    <row r="9">
      <c r="A9" s="19" t="inlineStr">
        <is>
          <t>Churn</t>
        </is>
      </c>
      <c r="B9" s="81" t="inlineStr">
        <is>
          <t>&lt;5%</t>
        </is>
      </c>
      <c r="C9" s="82" t="inlineStr">
        <is>
          <t>5–10%</t>
        </is>
      </c>
      <c r="D9" s="83" t="inlineStr">
        <is>
          <t>&gt;10%</t>
        </is>
      </c>
      <c r="E9" s="29" t="n"/>
      <c r="F9" s="29" t="n"/>
      <c r="G9" s="29" t="n"/>
      <c r="H9" s="29" t="n"/>
    </row>
    <row r="10">
      <c r="A10" s="19" t="inlineStr">
        <is>
          <t>Uptime</t>
        </is>
      </c>
      <c r="B10" s="81" t="inlineStr">
        <is>
          <t>&gt;99.5%</t>
        </is>
      </c>
      <c r="C10" s="82" t="inlineStr">
        <is>
          <t>97–99.5%</t>
        </is>
      </c>
      <c r="D10" s="83" t="inlineStr">
        <is>
          <t>&lt;97%</t>
        </is>
      </c>
      <c r="E10" s="29" t="n"/>
      <c r="F10" s="29" t="n"/>
      <c r="G10" s="29" t="n"/>
      <c r="H10" s="29" t="n"/>
    </row>
    <row r="11">
      <c r="A11" s="19" t="inlineStr">
        <is>
          <t>Pro Subs/wk</t>
        </is>
      </c>
      <c r="B11" s="81" t="inlineStr">
        <is>
          <t>&gt;5</t>
        </is>
      </c>
      <c r="C11" s="82" t="inlineStr">
        <is>
          <t>1–5</t>
        </is>
      </c>
      <c r="D11" s="83" t="inlineStr">
        <is>
          <t>0</t>
        </is>
      </c>
      <c r="E11" s="29" t="n"/>
      <c r="F11" s="29" t="n"/>
      <c r="G11" s="29" t="n"/>
      <c r="H11" s="29" t="n"/>
    </row>
    <row r="12">
      <c r="A12" s="19" t="inlineStr">
        <is>
          <t>MRR</t>
        </is>
      </c>
      <c r="B12" s="81" t="inlineStr">
        <is>
          <t>&gt;$500</t>
        </is>
      </c>
      <c r="C12" s="82" t="inlineStr">
        <is>
          <t>$100–500</t>
        </is>
      </c>
      <c r="D12" s="83" t="inlineStr">
        <is>
          <t>&lt;$100</t>
        </is>
      </c>
      <c r="E12" s="29" t="n"/>
      <c r="F12" s="29" t="n"/>
      <c r="G12" s="29" t="n"/>
      <c r="H12" s="29" t="n"/>
    </row>
    <row r="13">
      <c r="A13" s="19" t="inlineStr">
        <is>
          <t>XLM Wallets/wk</t>
        </is>
      </c>
      <c r="B13" s="81" t="inlineStr">
        <is>
          <t>&gt;20</t>
        </is>
      </c>
      <c r="C13" s="82" t="inlineStr">
        <is>
          <t>5–20</t>
        </is>
      </c>
      <c r="D13" s="83" t="inlineStr">
        <is>
          <t>&lt;5</t>
        </is>
      </c>
      <c r="E13" s="29" t="n"/>
      <c r="F13" s="29" t="n"/>
      <c r="G13" s="29" t="n"/>
      <c r="H13" s="29" t="n"/>
    </row>
    <row r="14">
      <c r="A14" s="19" t="inlineStr">
        <is>
          <t>Free Cards/wk</t>
        </is>
      </c>
      <c r="B14" s="81" t="inlineStr">
        <is>
          <t>&gt;15</t>
        </is>
      </c>
      <c r="C14" s="82" t="inlineStr">
        <is>
          <t>5–15</t>
        </is>
      </c>
      <c r="D14" s="83" t="inlineStr">
        <is>
          <t>&lt;5</t>
        </is>
      </c>
      <c r="E14" s="29" t="n"/>
      <c r="F14" s="29" t="n"/>
      <c r="G14" s="29" t="n"/>
      <c r="H14" s="29" t="n"/>
    </row>
  </sheetData>
  <mergeCells count="2">
    <mergeCell ref="A3:H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2026-03-03T18:00:19Z</dcterms:created>
  <dcterms:modified xmlns:dcterms="http://purl.org/dc/terms/" xmlns:xsi="http://www.w3.org/2001/XMLSchema-instance" xsi:type="dcterms:W3CDTF">2026-03-03T18:00:19Z</dcterms:modified>
</cp:coreProperties>
</file>